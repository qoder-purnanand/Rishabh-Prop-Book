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qode2024-my.sharepoint.com/personal/purnanand_kulkarni_qodeinvest_com/Documents/Research/Portfolio Review/Rishabh Prop Book/"/>
    </mc:Choice>
  </mc:AlternateContent>
  <xr:revisionPtr revIDLastSave="1" documentId="11_C8E7B2ACF946F18BDCA4CA9A855C4FEF0A7873E2" xr6:coauthVersionLast="47" xr6:coauthVersionMax="47" xr10:uidLastSave="{3AF82C0D-7687-4717-ABE2-98A27DF37B8F}"/>
  <bookViews>
    <workbookView xWindow="-120" yWindow="-120" windowWidth="29040" windowHeight="15720" firstSheet="4" activeTab="8" xr2:uid="{00000000-000D-0000-FFFF-FFFF00000000}"/>
  </bookViews>
  <sheets>
    <sheet name="Ideas" sheetId="14" r:id="rId1"/>
    <sheet name="Balance Sheet RN" sheetId="4" r:id="rId2"/>
    <sheet name="Balance Sheet MCL" sheetId="5" r:id="rId3"/>
    <sheet name="Pivot" sheetId="1" state="hidden" r:id="rId4"/>
    <sheet name="Mastersheet" sheetId="21" r:id="rId5"/>
    <sheet name="Capital Account" sheetId="22" r:id="rId6"/>
    <sheet name="Holdings Summary" sheetId="27" r:id="rId7"/>
    <sheet name="Networth Inputs" sheetId="32" r:id="rId8"/>
    <sheet name="Cash and Margin" sheetId="33" r:id="rId9"/>
    <sheet name="Strategy Allocation" sheetId="34" r:id="rId10"/>
    <sheet name="Equity Holdings" sheetId="2" r:id="rId11"/>
    <sheet name="Mutual Funds" sheetId="3" r:id="rId12"/>
    <sheet name="Mishayan STCG" sheetId="30" state="hidden" r:id="rId13"/>
    <sheet name="Fund Returns" sheetId="9" state="hidden" r:id="rId14"/>
    <sheet name="Fund Arrangement" sheetId="31" r:id="rId15"/>
    <sheet name="Strategy Allocation Old" sheetId="8" r:id="rId16"/>
    <sheet name="Networth Inputs - old" sheetId="6" r:id="rId17"/>
    <sheet name="Cash and Margin - old" sheetId="13" r:id="rId18"/>
    <sheet name="Returns and Tax" sheetId="29" r:id="rId19"/>
  </sheets>
  <externalReferences>
    <externalReference r:id="rId20"/>
  </externalReferences>
  <definedNames>
    <definedName name="_xlnm._FilterDatabase" localSheetId="5" hidden="1">'Capital Account'!$A$4:$E$48</definedName>
    <definedName name="_xlnm._FilterDatabase" localSheetId="8" hidden="1">'Cash and Margin'!$A$3:$C$14</definedName>
    <definedName name="_xlnm._FilterDatabase" localSheetId="17" hidden="1">'Cash and Margin - old'!$A$3:$C$14</definedName>
    <definedName name="_xlnm._FilterDatabase" localSheetId="11" hidden="1">'Mutual Funds'!$A$3:$O$13</definedName>
    <definedName name="_xlnm._FilterDatabase" localSheetId="7" hidden="1">'Networth Inputs'!$A$3:$J$56</definedName>
    <definedName name="_xlnm._FilterDatabase" localSheetId="16" hidden="1">'Networth Inputs - old'!$A$3:$G$45</definedName>
    <definedName name="_xlnm._FilterDatabase" localSheetId="9" hidden="1">'Strategy Allocation'!$A$2:$J$55</definedName>
    <definedName name="_xlnm._FilterDatabase" localSheetId="15" hidden="1">'Strategy Allocation Old'!$A$4:$I$44</definedName>
  </definedNames>
  <calcPr calcId="191029" iterate="1"/>
  <pivotCaches>
    <pivotCache cacheId="11" r:id="rId21"/>
    <pivotCache cacheId="12" r:id="rId22"/>
    <pivotCache cacheId="13" r:id="rId23"/>
    <pivotCache cacheId="14" r:id="rId24"/>
    <pivotCache cacheId="15" r:id="rId25"/>
    <pivotCache cacheId="16" r:id="rId26"/>
    <pivotCache cacheId="17" r:id="rId27"/>
    <pivotCache cacheId="18" r:id="rId28"/>
    <pivotCache cacheId="19" r:id="rId29"/>
    <pivotCache cacheId="20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34" l="1"/>
  <c r="H55" i="34"/>
  <c r="I55" i="34" s="1"/>
  <c r="J54" i="34"/>
  <c r="H54" i="34"/>
  <c r="I54" i="34" s="1"/>
  <c r="J53" i="34"/>
  <c r="H53" i="34"/>
  <c r="I53" i="34" s="1"/>
  <c r="J52" i="34"/>
  <c r="H52" i="34"/>
  <c r="I52" i="34" s="1"/>
  <c r="H51" i="34"/>
  <c r="J51" i="34" s="1"/>
  <c r="D49" i="34"/>
  <c r="D48" i="34"/>
  <c r="D47" i="34"/>
  <c r="F46" i="34"/>
  <c r="F47" i="34"/>
  <c r="F48" i="34"/>
  <c r="F49" i="34"/>
  <c r="F45" i="34"/>
  <c r="I51" i="34" l="1"/>
  <c r="J49" i="34"/>
  <c r="H49" i="34"/>
  <c r="I49" i="34" s="1"/>
  <c r="J48" i="34"/>
  <c r="H48" i="34"/>
  <c r="I48" i="34" s="1"/>
  <c r="J47" i="34"/>
  <c r="H47" i="34"/>
  <c r="I47" i="34" s="1"/>
  <c r="J46" i="34"/>
  <c r="H46" i="34"/>
  <c r="I46" i="34" s="1"/>
  <c r="H45" i="34"/>
  <c r="J45" i="34" s="1"/>
  <c r="J43" i="34"/>
  <c r="H43" i="34"/>
  <c r="I43" i="34" s="1"/>
  <c r="J42" i="34"/>
  <c r="H42" i="34"/>
  <c r="I42" i="34" s="1"/>
  <c r="J41" i="34"/>
  <c r="H41" i="34"/>
  <c r="I41" i="34" s="1"/>
  <c r="J40" i="34"/>
  <c r="H40" i="34"/>
  <c r="I40" i="34" s="1"/>
  <c r="H39" i="34"/>
  <c r="J39" i="34" s="1"/>
  <c r="J37" i="34"/>
  <c r="H37" i="34"/>
  <c r="I37" i="34" s="1"/>
  <c r="J36" i="34"/>
  <c r="H36" i="34"/>
  <c r="I36" i="34" s="1"/>
  <c r="J35" i="34"/>
  <c r="H35" i="34"/>
  <c r="I35" i="34" s="1"/>
  <c r="J34" i="34"/>
  <c r="H34" i="34"/>
  <c r="I34" i="34" s="1"/>
  <c r="H33" i="34"/>
  <c r="I33" i="34" s="1"/>
  <c r="J31" i="34"/>
  <c r="H31" i="34"/>
  <c r="I31" i="34" s="1"/>
  <c r="J30" i="34"/>
  <c r="H30" i="34"/>
  <c r="I30" i="34" s="1"/>
  <c r="J29" i="34"/>
  <c r="H29" i="34"/>
  <c r="I29" i="34" s="1"/>
  <c r="J28" i="34"/>
  <c r="H28" i="34"/>
  <c r="I28" i="34" s="1"/>
  <c r="H27" i="34"/>
  <c r="G22" i="34"/>
  <c r="G23" i="34"/>
  <c r="G24" i="34"/>
  <c r="G25" i="34"/>
  <c r="G21" i="34"/>
  <c r="F22" i="34"/>
  <c r="F23" i="34"/>
  <c r="F24" i="34"/>
  <c r="F25" i="34"/>
  <c r="F21" i="34"/>
  <c r="J25" i="34"/>
  <c r="J24" i="34"/>
  <c r="J23" i="34"/>
  <c r="J22" i="34"/>
  <c r="H21" i="34"/>
  <c r="J19" i="34"/>
  <c r="H19" i="34"/>
  <c r="I19" i="34" s="1"/>
  <c r="J18" i="34"/>
  <c r="H18" i="34"/>
  <c r="I18" i="34" s="1"/>
  <c r="J17" i="34"/>
  <c r="H17" i="34"/>
  <c r="I17" i="34" s="1"/>
  <c r="J16" i="34"/>
  <c r="H16" i="34"/>
  <c r="I16" i="34" s="1"/>
  <c r="H15" i="34"/>
  <c r="I15" i="34" s="1"/>
  <c r="G19" i="34"/>
  <c r="G18" i="34"/>
  <c r="G17" i="34"/>
  <c r="G16" i="34"/>
  <c r="G15" i="34"/>
  <c r="J13" i="34"/>
  <c r="J12" i="34"/>
  <c r="J11" i="34"/>
  <c r="J10" i="34"/>
  <c r="J4" i="34"/>
  <c r="J5" i="34"/>
  <c r="J6" i="34"/>
  <c r="J7" i="34"/>
  <c r="H13" i="34"/>
  <c r="I13" i="34" s="1"/>
  <c r="H12" i="34"/>
  <c r="I12" i="34" s="1"/>
  <c r="H11" i="34"/>
  <c r="I11" i="34" s="1"/>
  <c r="H10" i="34"/>
  <c r="I10" i="34" s="1"/>
  <c r="H9" i="34"/>
  <c r="J9" i="34" s="1"/>
  <c r="AA9" i="33"/>
  <c r="AD5" i="33"/>
  <c r="AA7" i="33"/>
  <c r="AD2" i="33"/>
  <c r="AD6" i="33" s="1"/>
  <c r="F28" i="32"/>
  <c r="F30" i="32"/>
  <c r="F32" i="32"/>
  <c r="F24" i="32"/>
  <c r="F34" i="32"/>
  <c r="G10" i="34"/>
  <c r="G11" i="34"/>
  <c r="G12" i="34"/>
  <c r="G13" i="34"/>
  <c r="G9" i="34"/>
  <c r="A4" i="34"/>
  <c r="A5" i="34" s="1"/>
  <c r="A6" i="34" s="1"/>
  <c r="A7" i="34" s="1"/>
  <c r="A9" i="34" s="1"/>
  <c r="A10" i="34" s="1"/>
  <c r="A11" i="34" s="1"/>
  <c r="A12" i="34" s="1"/>
  <c r="A13" i="34" s="1"/>
  <c r="A15" i="34" s="1"/>
  <c r="A16" i="34" s="1"/>
  <c r="A17" i="34" s="1"/>
  <c r="A18" i="34" s="1"/>
  <c r="A19" i="34" s="1"/>
  <c r="A21" i="34" s="1"/>
  <c r="A22" i="34" s="1"/>
  <c r="A23" i="34" s="1"/>
  <c r="A24" i="34" s="1"/>
  <c r="A25" i="34" s="1"/>
  <c r="A27" i="34" s="1"/>
  <c r="A28" i="34" s="1"/>
  <c r="A29" i="34" s="1"/>
  <c r="A30" i="34" s="1"/>
  <c r="A31" i="34" s="1"/>
  <c r="A33" i="34" s="1"/>
  <c r="A34" i="34" s="1"/>
  <c r="A35" i="34" s="1"/>
  <c r="A36" i="34" s="1"/>
  <c r="A37" i="34" s="1"/>
  <c r="A39" i="34" s="1"/>
  <c r="A40" i="34" s="1"/>
  <c r="A41" i="34" s="1"/>
  <c r="A42" i="34" s="1"/>
  <c r="A43" i="34" s="1"/>
  <c r="A45" i="34" s="1"/>
  <c r="A46" i="34" s="1"/>
  <c r="A47" i="34" s="1"/>
  <c r="A48" i="34" s="1"/>
  <c r="A49" i="34" s="1"/>
  <c r="A51" i="34" s="1"/>
  <c r="A52" i="34" s="1"/>
  <c r="A53" i="34" s="1"/>
  <c r="A54" i="34" s="1"/>
  <c r="A55" i="34" s="1"/>
  <c r="F49" i="32"/>
  <c r="C13" i="33" s="1"/>
  <c r="G4" i="33"/>
  <c r="S15" i="33" s="1"/>
  <c r="E5" i="33"/>
  <c r="E6" i="33" s="1"/>
  <c r="B19" i="33"/>
  <c r="C19" i="33"/>
  <c r="B17" i="33"/>
  <c r="C17" i="33"/>
  <c r="B18" i="33"/>
  <c r="C18" i="33"/>
  <c r="B13" i="33"/>
  <c r="B14" i="33"/>
  <c r="C14" i="33"/>
  <c r="B15" i="33"/>
  <c r="C15" i="33"/>
  <c r="B16" i="33"/>
  <c r="C16" i="33"/>
  <c r="B7" i="33"/>
  <c r="C7" i="33"/>
  <c r="B8" i="33"/>
  <c r="C8" i="33"/>
  <c r="B9" i="33"/>
  <c r="C9" i="33"/>
  <c r="B10" i="33"/>
  <c r="C10" i="33"/>
  <c r="B11" i="33"/>
  <c r="C11" i="33"/>
  <c r="B12" i="33"/>
  <c r="C12" i="33"/>
  <c r="C6" i="33"/>
  <c r="B6" i="33"/>
  <c r="A6" i="33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5" i="33"/>
  <c r="P13" i="33"/>
  <c r="P14" i="33" s="1"/>
  <c r="P15" i="33" s="1"/>
  <c r="P10" i="33"/>
  <c r="L8" i="33"/>
  <c r="L7" i="33"/>
  <c r="P6" i="33"/>
  <c r="P7" i="33" s="1"/>
  <c r="J5" i="33"/>
  <c r="J6" i="33" s="1"/>
  <c r="J7" i="33" s="1"/>
  <c r="J8" i="33" s="1"/>
  <c r="J9" i="33" s="1"/>
  <c r="J10" i="33" s="1"/>
  <c r="J11" i="33" s="1"/>
  <c r="J12" i="33" s="1"/>
  <c r="J13" i="33" s="1"/>
  <c r="U5" i="32"/>
  <c r="F26" i="32"/>
  <c r="F6" i="34" l="1"/>
  <c r="H6" i="34" s="1"/>
  <c r="R15" i="33"/>
  <c r="I9" i="34"/>
  <c r="J15" i="34"/>
  <c r="J33" i="34"/>
  <c r="I45" i="34"/>
  <c r="I39" i="34"/>
  <c r="J27" i="34"/>
  <c r="I27" i="34"/>
  <c r="H22" i="34"/>
  <c r="I22" i="34" s="1"/>
  <c r="H23" i="34"/>
  <c r="I23" i="34" s="1"/>
  <c r="H24" i="34"/>
  <c r="I24" i="34" s="1"/>
  <c r="H25" i="34"/>
  <c r="I25" i="34" s="1"/>
  <c r="I21" i="34"/>
  <c r="J21" i="34"/>
  <c r="V15" i="33"/>
  <c r="F17" i="32"/>
  <c r="U5" i="33" s="1"/>
  <c r="F16" i="32"/>
  <c r="F15" i="32"/>
  <c r="F13" i="32"/>
  <c r="F14" i="32"/>
  <c r="F12" i="32"/>
  <c r="F8" i="32"/>
  <c r="F7" i="32"/>
  <c r="F5" i="32"/>
  <c r="F6" i="32"/>
  <c r="F4" i="32"/>
  <c r="AA2" i="33" l="1"/>
  <c r="C5" i="33"/>
  <c r="C4" i="33"/>
  <c r="G6" i="33"/>
  <c r="G5" i="33"/>
  <c r="U4" i="32"/>
  <c r="U6" i="32" s="1"/>
  <c r="C22" i="33" l="1"/>
  <c r="R13" i="33" s="1"/>
  <c r="U14" i="33"/>
  <c r="V14" i="33" s="1"/>
  <c r="F7" i="34"/>
  <c r="A5" i="32"/>
  <c r="A6" i="32" s="1"/>
  <c r="A7" i="32" s="1"/>
  <c r="A8" i="32" s="1"/>
  <c r="A9" i="32" s="1"/>
  <c r="A10" i="32" s="1"/>
  <c r="A12" i="32" s="1"/>
  <c r="A13" i="32" s="1"/>
  <c r="A14" i="32" s="1"/>
  <c r="A15" i="32" s="1"/>
  <c r="A16" i="32" s="1"/>
  <c r="A17" i="32" s="1"/>
  <c r="A18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W15" i="33" l="1"/>
  <c r="U12" i="33"/>
  <c r="V12" i="33" s="1"/>
  <c r="W12" i="33" s="1"/>
  <c r="U9" i="33"/>
  <c r="T10" i="33"/>
  <c r="D6" i="34"/>
  <c r="I6" i="34" s="1"/>
  <c r="F3" i="34"/>
  <c r="H3" i="34" s="1"/>
  <c r="F4" i="34"/>
  <c r="H4" i="34" s="1"/>
  <c r="I4" i="34" s="1"/>
  <c r="F5" i="34"/>
  <c r="H5" i="34" s="1"/>
  <c r="I5" i="34" s="1"/>
  <c r="W14" i="33"/>
  <c r="S13" i="33"/>
  <c r="S6" i="33" s="1"/>
  <c r="S19" i="33" s="1"/>
  <c r="A35" i="32"/>
  <c r="A36" i="32" s="1"/>
  <c r="A37" i="32" s="1"/>
  <c r="A39" i="32" s="1"/>
  <c r="A40" i="32" s="1"/>
  <c r="R6" i="33"/>
  <c r="R19" i="33" s="1"/>
  <c r="H7" i="34"/>
  <c r="D7" i="34"/>
  <c r="I24" i="6"/>
  <c r="E19" i="6"/>
  <c r="V13" i="33" l="1"/>
  <c r="W13" i="33" s="1"/>
  <c r="I3" i="34"/>
  <c r="J3" i="34"/>
  <c r="A41" i="32"/>
  <c r="A42" i="32" s="1"/>
  <c r="A43" i="32" s="1"/>
  <c r="A44" i="32" s="1"/>
  <c r="A45" i="32" s="1"/>
  <c r="A46" i="32" s="1"/>
  <c r="A47" i="32" s="1"/>
  <c r="A49" i="32" s="1"/>
  <c r="A50" i="32" s="1"/>
  <c r="A51" i="32" s="1"/>
  <c r="A52" i="32" s="1"/>
  <c r="A53" i="32" s="1"/>
  <c r="A54" i="32" s="1"/>
  <c r="A55" i="32" s="1"/>
  <c r="T6" i="33"/>
  <c r="V10" i="33"/>
  <c r="W10" i="33" s="1"/>
  <c r="V9" i="33"/>
  <c r="U6" i="33"/>
  <c r="AA5" i="33" s="1"/>
  <c r="S7" i="33"/>
  <c r="I7" i="34"/>
  <c r="N32" i="31"/>
  <c r="E28" i="6"/>
  <c r="I28" i="6"/>
  <c r="I27" i="6"/>
  <c r="I26" i="6"/>
  <c r="I25" i="6"/>
  <c r="T19" i="33" l="1"/>
  <c r="U19" i="33"/>
  <c r="U7" i="33"/>
  <c r="W9" i="33"/>
  <c r="V6" i="33"/>
  <c r="W6" i="33" s="1"/>
  <c r="AE6" i="22"/>
  <c r="AD6" i="22"/>
  <c r="E26" i="8"/>
  <c r="E25" i="8"/>
  <c r="E31" i="8"/>
  <c r="E30" i="8"/>
  <c r="E24" i="8"/>
  <c r="E23" i="8"/>
  <c r="E22" i="8"/>
  <c r="E21" i="8"/>
  <c r="E44" i="8"/>
  <c r="E20" i="8"/>
  <c r="E19" i="8"/>
  <c r="E18" i="8"/>
  <c r="E17" i="8"/>
  <c r="E16" i="8"/>
  <c r="E15" i="8"/>
  <c r="E14" i="8"/>
  <c r="E33" i="8"/>
  <c r="E32" i="8"/>
  <c r="E13" i="8"/>
  <c r="E12" i="8"/>
  <c r="E28" i="8"/>
  <c r="E11" i="8"/>
  <c r="E10" i="8"/>
  <c r="A27" i="13"/>
  <c r="E35" i="6"/>
  <c r="E34" i="6"/>
  <c r="E18" i="6"/>
  <c r="V19" i="33" l="1"/>
  <c r="W19" i="33" s="1"/>
  <c r="P32" i="13"/>
  <c r="P33" i="13"/>
  <c r="P34" i="13"/>
  <c r="P35" i="13"/>
  <c r="P31" i="13"/>
  <c r="P36" i="13" s="1"/>
  <c r="O36" i="13"/>
  <c r="N36" i="13"/>
  <c r="N38" i="13" s="1"/>
  <c r="N40" i="13" s="1"/>
  <c r="K32" i="8" l="1"/>
  <c r="K33" i="8"/>
  <c r="AA49" i="21" l="1"/>
  <c r="F25" i="8"/>
  <c r="F26" i="8"/>
  <c r="F28" i="8"/>
  <c r="E16" i="6"/>
  <c r="E39" i="8" l="1"/>
  <c r="E38" i="8"/>
  <c r="C21" i="13" l="1"/>
  <c r="B21" i="13"/>
  <c r="F44" i="8" l="1"/>
  <c r="E29" i="8"/>
  <c r="F29" i="8" s="1"/>
  <c r="E37" i="8"/>
  <c r="F37" i="8" s="1"/>
  <c r="N24" i="13"/>
  <c r="N23" i="13"/>
  <c r="N25" i="13" l="1"/>
  <c r="I18" i="31"/>
  <c r="I17" i="31"/>
  <c r="I13" i="31"/>
  <c r="C13" i="31" l="1"/>
  <c r="H19" i="8" l="1"/>
  <c r="C22" i="31" l="1"/>
  <c r="I20" i="31" s="1"/>
  <c r="C20" i="31"/>
  <c r="C19" i="31" s="1"/>
  <c r="I22" i="31" s="1"/>
  <c r="D3" i="31"/>
  <c r="C20" i="13"/>
  <c r="B20" i="13"/>
  <c r="M4" i="6" l="1"/>
  <c r="AE38" i="22" l="1"/>
  <c r="AA18" i="22"/>
  <c r="H38" i="8"/>
  <c r="E43" i="8"/>
  <c r="F43" i="8" s="1"/>
  <c r="H17" i="8"/>
  <c r="H16" i="8"/>
  <c r="H15" i="8"/>
  <c r="C6" i="13"/>
  <c r="B6" i="13"/>
  <c r="AZ11" i="21" l="1"/>
  <c r="G41" i="8"/>
  <c r="G42" i="8"/>
  <c r="F42" i="8"/>
  <c r="F41" i="8"/>
  <c r="H13" i="8"/>
  <c r="G22" i="8"/>
  <c r="G23" i="8"/>
  <c r="G24" i="8"/>
  <c r="G25" i="8"/>
  <c r="G26" i="8"/>
  <c r="G27" i="8"/>
  <c r="G28" i="8"/>
  <c r="G29" i="8"/>
  <c r="G32" i="8"/>
  <c r="G33" i="8"/>
  <c r="G34" i="8"/>
  <c r="G35" i="8"/>
  <c r="G36" i="8"/>
  <c r="G37" i="8"/>
  <c r="G38" i="8"/>
  <c r="G39" i="8"/>
  <c r="G40" i="8"/>
  <c r="AD28" i="22" l="1"/>
  <c r="AE28" i="22"/>
  <c r="AD29" i="22"/>
  <c r="AE29" i="22"/>
  <c r="AD30" i="22"/>
  <c r="AE30" i="22"/>
  <c r="AD31" i="22"/>
  <c r="AE31" i="22"/>
  <c r="G50" i="29"/>
  <c r="I50" i="29" s="1"/>
  <c r="L50" i="29" s="1"/>
  <c r="G51" i="29"/>
  <c r="I51" i="29" s="1"/>
  <c r="L51" i="29" s="1"/>
  <c r="G52" i="29"/>
  <c r="I52" i="29" s="1"/>
  <c r="L52" i="29" s="1"/>
  <c r="G53" i="29"/>
  <c r="I53" i="29" s="1"/>
  <c r="L53" i="29" s="1"/>
  <c r="G54" i="29"/>
  <c r="I54" i="29" s="1"/>
  <c r="L54" i="29" s="1"/>
  <c r="G55" i="29"/>
  <c r="I55" i="29" s="1"/>
  <c r="L55" i="29" s="1"/>
  <c r="F45" i="29"/>
  <c r="F46" i="29"/>
  <c r="F47" i="29"/>
  <c r="F48" i="29"/>
  <c r="F49" i="29"/>
  <c r="F50" i="29"/>
  <c r="F51" i="29"/>
  <c r="F52" i="29"/>
  <c r="F53" i="29"/>
  <c r="F54" i="29"/>
  <c r="F55" i="29"/>
  <c r="E50" i="29"/>
  <c r="E51" i="29"/>
  <c r="E52" i="29"/>
  <c r="E53" i="29"/>
  <c r="E54" i="29"/>
  <c r="E55" i="29"/>
  <c r="D49" i="29"/>
  <c r="D50" i="29"/>
  <c r="D51" i="29"/>
  <c r="D52" i="29"/>
  <c r="D53" i="29"/>
  <c r="D54" i="29"/>
  <c r="D55" i="29"/>
  <c r="D47" i="29"/>
  <c r="D48" i="29"/>
  <c r="D45" i="29"/>
  <c r="D46" i="29"/>
  <c r="E48" i="29"/>
  <c r="H11" i="8"/>
  <c r="B19" i="13"/>
  <c r="F39" i="8" l="1"/>
  <c r="G48" i="29" s="1"/>
  <c r="I48" i="29" s="1"/>
  <c r="L48" i="29" s="1"/>
  <c r="E47" i="29"/>
  <c r="F38" i="8"/>
  <c r="G47" i="29" s="1"/>
  <c r="I47" i="29" s="1"/>
  <c r="L47" i="29" s="1"/>
  <c r="E36" i="8"/>
  <c r="E45" i="29" s="1"/>
  <c r="C19" i="13"/>
  <c r="AA13" i="22" l="1"/>
  <c r="AE7" i="22" l="1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K15" i="22" l="1"/>
  <c r="AL15" i="22" s="1"/>
  <c r="AK14" i="22"/>
  <c r="AA43" i="21"/>
  <c r="AA44" i="21"/>
  <c r="AA45" i="21"/>
  <c r="AA46" i="21"/>
  <c r="AA47" i="21"/>
  <c r="AA48" i="21"/>
  <c r="AA42" i="21"/>
  <c r="AA50" i="21" l="1"/>
  <c r="X12" i="21" s="1"/>
  <c r="F36" i="8"/>
  <c r="G45" i="29" s="1"/>
  <c r="I45" i="29" s="1"/>
  <c r="L45" i="29" s="1"/>
  <c r="E35" i="8"/>
  <c r="F35" i="8" s="1"/>
  <c r="G10" i="30" l="1"/>
  <c r="F10" i="30"/>
  <c r="E10" i="30"/>
  <c r="D10" i="30"/>
  <c r="B7" i="30"/>
  <c r="B8" i="30" s="1"/>
  <c r="B9" i="30" s="1"/>
  <c r="G34" i="29" l="1"/>
  <c r="I34" i="29" s="1"/>
  <c r="L34" i="29" s="1"/>
  <c r="G35" i="29"/>
  <c r="I35" i="29" s="1"/>
  <c r="L35" i="29" s="1"/>
  <c r="G36" i="29"/>
  <c r="I36" i="29" s="1"/>
  <c r="L36" i="29" s="1"/>
  <c r="G37" i="29"/>
  <c r="I37" i="29" s="1"/>
  <c r="L37" i="29" s="1"/>
  <c r="G38" i="29"/>
  <c r="I38" i="29" s="1"/>
  <c r="L38" i="29" s="1"/>
  <c r="G44" i="29"/>
  <c r="I44" i="29" s="1"/>
  <c r="L44" i="29" s="1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E44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D41" i="29"/>
  <c r="D42" i="29"/>
  <c r="D43" i="29"/>
  <c r="D44" i="29"/>
  <c r="D39" i="29"/>
  <c r="D40" i="29"/>
  <c r="D31" i="29"/>
  <c r="D32" i="29"/>
  <c r="D33" i="29"/>
  <c r="D34" i="29"/>
  <c r="D35" i="29"/>
  <c r="D36" i="29"/>
  <c r="D37" i="29"/>
  <c r="D3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15" i="29"/>
  <c r="D16" i="29"/>
  <c r="D17" i="29"/>
  <c r="D18" i="29"/>
  <c r="D14" i="29"/>
  <c r="G7" i="29"/>
  <c r="I7" i="29" s="1"/>
  <c r="L7" i="29" s="1"/>
  <c r="G10" i="29"/>
  <c r="I10" i="29" s="1"/>
  <c r="L10" i="29" s="1"/>
  <c r="F15" i="29"/>
  <c r="F16" i="29"/>
  <c r="F17" i="29"/>
  <c r="F18" i="29"/>
  <c r="F14" i="29"/>
  <c r="B7" i="29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AA6" i="22"/>
  <c r="AA7" i="22"/>
  <c r="AA8" i="22"/>
  <c r="AA9" i="22"/>
  <c r="AA10" i="22"/>
  <c r="AA11" i="22"/>
  <c r="AA12" i="22"/>
  <c r="Z7" i="22"/>
  <c r="Z8" i="22"/>
  <c r="Z9" i="22"/>
  <c r="Z10" i="22"/>
  <c r="Z11" i="22"/>
  <c r="Z12" i="22"/>
  <c r="Z13" i="22"/>
  <c r="Z6" i="22"/>
  <c r="E6" i="29"/>
  <c r="E9" i="29"/>
  <c r="E13" i="29"/>
  <c r="E8" i="29"/>
  <c r="E12" i="29"/>
  <c r="E11" i="29"/>
  <c r="AA5" i="22" l="1"/>
  <c r="AJ5" i="22" s="1"/>
  <c r="AJ14" i="22" s="1"/>
  <c r="AL14" i="22" s="1"/>
  <c r="G6" i="29"/>
  <c r="I6" i="29" s="1"/>
  <c r="L6" i="29" s="1"/>
  <c r="G8" i="29"/>
  <c r="I8" i="29" s="1"/>
  <c r="L8" i="29" s="1"/>
  <c r="G9" i="29"/>
  <c r="I9" i="29" s="1"/>
  <c r="L9" i="29" s="1"/>
  <c r="G11" i="29"/>
  <c r="I11" i="29" s="1"/>
  <c r="L11" i="29" s="1"/>
  <c r="G12" i="29"/>
  <c r="I12" i="29" s="1"/>
  <c r="L12" i="29" s="1"/>
  <c r="G13" i="29"/>
  <c r="I13" i="29" s="1"/>
  <c r="L13" i="29" s="1"/>
  <c r="AE5" i="22"/>
  <c r="AK5" i="22" s="1"/>
  <c r="W29" i="27"/>
  <c r="AL5" i="22" l="1"/>
  <c r="AJ7" i="22"/>
  <c r="P52" i="22"/>
  <c r="K57" i="22" l="1"/>
  <c r="K58" i="22"/>
  <c r="P48" i="22"/>
  <c r="Q35" i="22"/>
  <c r="Q30" i="22" s="1"/>
  <c r="P35" i="22"/>
  <c r="P30" i="22" s="1"/>
  <c r="E34" i="22"/>
  <c r="P40" i="22" s="1"/>
  <c r="P38" i="22" s="1"/>
  <c r="P43" i="22" l="1"/>
  <c r="P44" i="22" s="1"/>
  <c r="P55" i="22" s="1"/>
  <c r="Q55" i="22" l="1"/>
  <c r="Q44" i="22"/>
  <c r="E12" i="22" l="1"/>
  <c r="BI14" i="21" l="1"/>
  <c r="BK14" i="21" s="1"/>
  <c r="BI13" i="21"/>
  <c r="BK13" i="21" s="1"/>
  <c r="BI10" i="21"/>
  <c r="BK10" i="21" s="1"/>
  <c r="AZ21" i="21"/>
  <c r="AZ22" i="21"/>
  <c r="AZ23" i="21"/>
  <c r="AZ20" i="21"/>
  <c r="AZ24" i="21" l="1"/>
  <c r="M49" i="21"/>
  <c r="N51" i="21" s="1"/>
  <c r="Q49" i="21"/>
  <c r="R50" i="21" s="1"/>
  <c r="N50" i="21"/>
  <c r="R51" i="21" l="1"/>
  <c r="N24" i="21"/>
  <c r="R24" i="21"/>
  <c r="R42" i="1" l="1"/>
  <c r="R43" i="1"/>
  <c r="R44" i="1"/>
  <c r="U42" i="1"/>
  <c r="U46" i="1"/>
  <c r="U45" i="1"/>
  <c r="U44" i="1"/>
  <c r="U43" i="1"/>
  <c r="U41" i="1"/>
  <c r="R41" i="1"/>
  <c r="R45" i="1" s="1"/>
  <c r="R32" i="1"/>
  <c r="G46" i="29" l="1"/>
  <c r="I46" i="29" s="1"/>
  <c r="L46" i="29" s="1"/>
  <c r="E46" i="29"/>
  <c r="F33" i="8"/>
  <c r="G42" i="29" s="1"/>
  <c r="I42" i="29" s="1"/>
  <c r="L42" i="29" s="1"/>
  <c r="E42" i="29"/>
  <c r="E41" i="29"/>
  <c r="F32" i="8"/>
  <c r="G41" i="29" s="1"/>
  <c r="I41" i="29" s="1"/>
  <c r="L41" i="29" s="1"/>
  <c r="U47" i="1"/>
  <c r="V45" i="1" l="1"/>
  <c r="V44" i="1"/>
  <c r="V46" i="1"/>
  <c r="V41" i="1"/>
  <c r="V42" i="1"/>
  <c r="V43" i="1"/>
  <c r="F31" i="8" l="1"/>
  <c r="G40" i="29" s="1"/>
  <c r="I40" i="29" s="1"/>
  <c r="L40" i="29" s="1"/>
  <c r="F30" i="8"/>
  <c r="G30" i="8" s="1"/>
  <c r="E20" i="29"/>
  <c r="E19" i="29"/>
  <c r="C18" i="13"/>
  <c r="B18" i="13"/>
  <c r="G39" i="29" l="1"/>
  <c r="I39" i="29" s="1"/>
  <c r="L39" i="29" s="1"/>
  <c r="F24" i="8" l="1"/>
  <c r="G33" i="29" s="1"/>
  <c r="I33" i="29" s="1"/>
  <c r="L33" i="29" s="1"/>
  <c r="F23" i="8"/>
  <c r="G32" i="29" s="1"/>
  <c r="I32" i="29" s="1"/>
  <c r="L32" i="29" s="1"/>
  <c r="F20" i="8"/>
  <c r="G29" i="29" s="1"/>
  <c r="I29" i="29" s="1"/>
  <c r="L29" i="29" s="1"/>
  <c r="E34" i="8"/>
  <c r="E7" i="8"/>
  <c r="E16" i="29" l="1"/>
  <c r="F34" i="8"/>
  <c r="G43" i="29" s="1"/>
  <c r="I43" i="29" s="1"/>
  <c r="L43" i="29" s="1"/>
  <c r="E43" i="29"/>
  <c r="F16" i="8"/>
  <c r="E25" i="29"/>
  <c r="F17" i="8"/>
  <c r="E26" i="29"/>
  <c r="F40" i="8" l="1"/>
  <c r="G49" i="29" s="1"/>
  <c r="I49" i="29" s="1"/>
  <c r="L49" i="29" s="1"/>
  <c r="E49" i="29"/>
  <c r="F9" i="8"/>
  <c r="E18" i="29"/>
  <c r="Q34" i="21"/>
  <c r="G25" i="29"/>
  <c r="I25" i="29" s="1"/>
  <c r="L25" i="29" s="1"/>
  <c r="M44" i="21"/>
  <c r="G26" i="29"/>
  <c r="I26" i="29" s="1"/>
  <c r="L26" i="29" s="1"/>
  <c r="M5" i="6"/>
  <c r="AK6" i="22" s="1"/>
  <c r="E22" i="6"/>
  <c r="BD14" i="21" l="1"/>
  <c r="BD15" i="21"/>
  <c r="AL6" i="22"/>
  <c r="M43" i="21"/>
  <c r="G18" i="29"/>
  <c r="I18" i="29" s="1"/>
  <c r="L18" i="29" s="1"/>
  <c r="E27" i="6"/>
  <c r="T5" i="33" s="1"/>
  <c r="R5" i="33" l="1"/>
  <c r="T7" i="33"/>
  <c r="AA4" i="33" s="1"/>
  <c r="P5" i="13"/>
  <c r="N5" i="13" s="1"/>
  <c r="E24" i="6"/>
  <c r="AK7" i="22"/>
  <c r="AL7" i="22" s="1"/>
  <c r="E23" i="29"/>
  <c r="E24" i="29"/>
  <c r="V5" i="33" l="1"/>
  <c r="W5" i="33" s="1"/>
  <c r="R7" i="33"/>
  <c r="E21" i="29"/>
  <c r="E22" i="29"/>
  <c r="G6" i="8"/>
  <c r="G7" i="8"/>
  <c r="G8" i="8"/>
  <c r="G11" i="8"/>
  <c r="G13" i="8"/>
  <c r="G15" i="8"/>
  <c r="G19" i="8"/>
  <c r="F22" i="8"/>
  <c r="G31" i="29" s="1"/>
  <c r="I31" i="29" s="1"/>
  <c r="L31" i="29" s="1"/>
  <c r="F21" i="8"/>
  <c r="F18" i="8"/>
  <c r="AA3" i="33" l="1"/>
  <c r="AA6" i="33" s="1"/>
  <c r="AA11" i="33" s="1"/>
  <c r="V7" i="33"/>
  <c r="W7" i="33" s="1"/>
  <c r="G21" i="8"/>
  <c r="G30" i="29"/>
  <c r="I30" i="29" s="1"/>
  <c r="L30" i="29" s="1"/>
  <c r="G18" i="8"/>
  <c r="G27" i="29"/>
  <c r="I27" i="29" s="1"/>
  <c r="L27" i="29" s="1"/>
  <c r="F19" i="8"/>
  <c r="G28" i="29" s="1"/>
  <c r="I28" i="29" s="1"/>
  <c r="L28" i="29" s="1"/>
  <c r="I19" i="8"/>
  <c r="E26" i="6"/>
  <c r="E20" i="6"/>
  <c r="C27" i="13" l="1"/>
  <c r="E25" i="6"/>
  <c r="G10" i="21"/>
  <c r="A33" i="13"/>
  <c r="C15" i="13"/>
  <c r="C10" i="21"/>
  <c r="C16" i="13"/>
  <c r="Q5" i="6"/>
  <c r="E4" i="21" s="1"/>
  <c r="E8" i="8" l="1"/>
  <c r="E17" i="29" s="1"/>
  <c r="C17" i="13" l="1"/>
  <c r="B17" i="13"/>
  <c r="Q14" i="13" l="1"/>
  <c r="K37" i="1"/>
  <c r="K38" i="1"/>
  <c r="K39" i="1"/>
  <c r="K36" i="1"/>
  <c r="L36" i="1"/>
  <c r="L37" i="1"/>
  <c r="L38" i="1"/>
  <c r="L39" i="1"/>
  <c r="L35" i="1"/>
  <c r="L34" i="1"/>
  <c r="I11" i="8" l="1"/>
  <c r="F11" i="8"/>
  <c r="G20" i="29" s="1"/>
  <c r="I20" i="29" s="1"/>
  <c r="L20" i="29" s="1"/>
  <c r="F13" i="8"/>
  <c r="G22" i="29" s="1"/>
  <c r="I22" i="29" s="1"/>
  <c r="L22" i="29" s="1"/>
  <c r="F14" i="8"/>
  <c r="F15" i="8"/>
  <c r="G24" i="29" s="1"/>
  <c r="I24" i="29" s="1"/>
  <c r="L24" i="29" s="1"/>
  <c r="N35" i="1"/>
  <c r="N39" i="1"/>
  <c r="N36" i="1"/>
  <c r="N37" i="1"/>
  <c r="N34" i="1"/>
  <c r="N38" i="1"/>
  <c r="AK8" i="1"/>
  <c r="AK9" i="1"/>
  <c r="AK10" i="1"/>
  <c r="AK12" i="1"/>
  <c r="AK13" i="1"/>
  <c r="AK14" i="1"/>
  <c r="AK15" i="1"/>
  <c r="AK16" i="1"/>
  <c r="AK17" i="1"/>
  <c r="AK18" i="1"/>
  <c r="AK20" i="1"/>
  <c r="AK21" i="1"/>
  <c r="AK7" i="1"/>
  <c r="AF9" i="1"/>
  <c r="AF12" i="1"/>
  <c r="AF13" i="1"/>
  <c r="AF14" i="1"/>
  <c r="AA9" i="1"/>
  <c r="AK22" i="1" s="1"/>
  <c r="AA7" i="1"/>
  <c r="AA11" i="1" s="1"/>
  <c r="G14" i="8" l="1"/>
  <c r="G23" i="29"/>
  <c r="I23" i="29" s="1"/>
  <c r="L23" i="29" s="1"/>
  <c r="AB9" i="1"/>
  <c r="AB11" i="1"/>
  <c r="AB7" i="1"/>
  <c r="Q5" i="13" l="1"/>
  <c r="C14" i="13"/>
  <c r="C13" i="13"/>
  <c r="C12" i="13"/>
  <c r="C11" i="13"/>
  <c r="C10" i="13"/>
  <c r="C5" i="13"/>
  <c r="C7" i="13"/>
  <c r="C4" i="13"/>
  <c r="B14" i="13"/>
  <c r="B13" i="13"/>
  <c r="B12" i="13"/>
  <c r="B11" i="13"/>
  <c r="B10" i="13"/>
  <c r="B7" i="13"/>
  <c r="B8" i="13"/>
  <c r="B9" i="13"/>
  <c r="B5" i="13"/>
  <c r="B4" i="13"/>
  <c r="L13" i="13"/>
  <c r="L14" i="13" s="1"/>
  <c r="L15" i="13" s="1"/>
  <c r="L10" i="13"/>
  <c r="H8" i="13"/>
  <c r="H7" i="13"/>
  <c r="L6" i="13"/>
  <c r="L7" i="13" s="1"/>
  <c r="F5" i="13"/>
  <c r="F6" i="13" s="1"/>
  <c r="F7" i="13" s="1"/>
  <c r="F8" i="13" s="1"/>
  <c r="F9" i="13" s="1"/>
  <c r="F10" i="13" s="1"/>
  <c r="F11" i="13" s="1"/>
  <c r="F12" i="13" s="1"/>
  <c r="F13" i="13" s="1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C22" i="13" l="1"/>
  <c r="Q15" i="13"/>
  <c r="R5" i="13" l="1"/>
  <c r="O15" i="13"/>
  <c r="N15" i="13"/>
  <c r="R15" i="13" l="1"/>
  <c r="F10" i="8"/>
  <c r="F12" i="8"/>
  <c r="M45" i="21" l="1"/>
  <c r="Q36" i="21"/>
  <c r="BD11" i="21" s="1"/>
  <c r="M42" i="21"/>
  <c r="G10" i="8"/>
  <c r="G19" i="29"/>
  <c r="I19" i="29" s="1"/>
  <c r="L19" i="29" s="1"/>
  <c r="G12" i="8"/>
  <c r="G21" i="29"/>
  <c r="I21" i="29" s="1"/>
  <c r="L21" i="29" s="1"/>
  <c r="M41" i="21"/>
  <c r="M37" i="21"/>
  <c r="M38" i="21"/>
  <c r="M35" i="21"/>
  <c r="M39" i="21"/>
  <c r="M36" i="21"/>
  <c r="M40" i="21"/>
  <c r="F8" i="8"/>
  <c r="G17" i="29" s="1"/>
  <c r="I17" i="29" s="1"/>
  <c r="L17" i="29" s="1"/>
  <c r="F7" i="8"/>
  <c r="A6" i="8"/>
  <c r="A7" i="8" s="1"/>
  <c r="A8" i="8" s="1"/>
  <c r="BD13" i="21" l="1"/>
  <c r="BD27" i="21" s="1"/>
  <c r="BD12" i="21"/>
  <c r="BD28" i="21" s="1"/>
  <c r="M33" i="21"/>
  <c r="N45" i="21" s="1"/>
  <c r="Q35" i="21"/>
  <c r="G16" i="29"/>
  <c r="I16" i="29" s="1"/>
  <c r="L16" i="29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J5" i="6"/>
  <c r="J6" i="6" s="1"/>
  <c r="J7" i="6" s="1"/>
  <c r="Q33" i="21" l="1"/>
  <c r="R34" i="21" s="1"/>
  <c r="N42" i="21"/>
  <c r="N16" i="21"/>
  <c r="BI12" i="21" s="1"/>
  <c r="BK12" i="21" s="1"/>
  <c r="BD16" i="21"/>
  <c r="N36" i="21"/>
  <c r="L24" i="21"/>
  <c r="M19" i="21" s="1"/>
  <c r="N41" i="21"/>
  <c r="N38" i="21"/>
  <c r="N43" i="21"/>
  <c r="N40" i="21"/>
  <c r="N39" i="21"/>
  <c r="N35" i="21"/>
  <c r="N37" i="21"/>
  <c r="N44" i="21"/>
  <c r="A19" i="8"/>
  <c r="AF8" i="1"/>
  <c r="AK19" i="1"/>
  <c r="AF11" i="1"/>
  <c r="R36" i="21" l="1"/>
  <c r="P24" i="21"/>
  <c r="Q19" i="21" s="1"/>
  <c r="R33" i="21" s="1"/>
  <c r="R35" i="21"/>
  <c r="BD17" i="21"/>
  <c r="BD26" i="21"/>
  <c r="L25" i="21"/>
  <c r="X13" i="21"/>
  <c r="X15" i="21"/>
  <c r="N25" i="21"/>
  <c r="N49" i="21"/>
  <c r="N15" i="21"/>
  <c r="N33" i="21"/>
  <c r="A20" i="8"/>
  <c r="A21" i="8" s="1"/>
  <c r="A22" i="8" s="1"/>
  <c r="B4" i="1"/>
  <c r="L42" i="1" s="1"/>
  <c r="N42" i="1" s="1"/>
  <c r="Q4" i="6"/>
  <c r="E3" i="21" s="1"/>
  <c r="AJ24" i="21" s="1"/>
  <c r="A5" i="6"/>
  <c r="A6" i="6" s="1"/>
  <c r="A7" i="6" s="1"/>
  <c r="D13" i="5"/>
  <c r="D11" i="5"/>
  <c r="I5" i="5"/>
  <c r="I21" i="5" s="1"/>
  <c r="F5" i="5"/>
  <c r="F6" i="5" s="1"/>
  <c r="F7" i="5" s="1"/>
  <c r="F8" i="5" s="1"/>
  <c r="F9" i="5" s="1"/>
  <c r="F10" i="5" s="1"/>
  <c r="F11" i="5" s="1"/>
  <c r="F12" i="5" s="1"/>
  <c r="F13" i="5" s="1"/>
  <c r="D5" i="5"/>
  <c r="A5" i="5"/>
  <c r="A6" i="5" s="1"/>
  <c r="A7" i="5" s="1"/>
  <c r="A8" i="5" s="1"/>
  <c r="A9" i="5" s="1"/>
  <c r="A10" i="5" s="1"/>
  <c r="A11" i="5" s="1"/>
  <c r="A12" i="5" s="1"/>
  <c r="A13" i="5" s="1"/>
  <c r="D4" i="5"/>
  <c r="I21" i="4"/>
  <c r="D10" i="4"/>
  <c r="D9" i="4"/>
  <c r="F5" i="4"/>
  <c r="F6" i="4" s="1"/>
  <c r="F7" i="4" s="1"/>
  <c r="F8" i="4" s="1"/>
  <c r="F9" i="4" s="1"/>
  <c r="F10" i="4" s="1"/>
  <c r="F11" i="4" s="1"/>
  <c r="F12" i="4" s="1"/>
  <c r="F13" i="4" s="1"/>
  <c r="A5" i="4"/>
  <c r="A6" i="4" s="1"/>
  <c r="A7" i="4" s="1"/>
  <c r="A8" i="4" s="1"/>
  <c r="A9" i="4" s="1"/>
  <c r="A10" i="4" s="1"/>
  <c r="A11" i="4" s="1"/>
  <c r="A12" i="4" s="1"/>
  <c r="A13" i="4" s="1"/>
  <c r="D4" i="4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4" i="6" s="1"/>
  <c r="A25" i="6" s="1"/>
  <c r="R49" i="21"/>
  <c r="R25" i="21"/>
  <c r="O10" i="21"/>
  <c r="N19" i="21" s="1"/>
  <c r="P25" i="21"/>
  <c r="E2" i="21"/>
  <c r="AZ13" i="21"/>
  <c r="AZ27" i="21"/>
  <c r="AJ13" i="21"/>
  <c r="AJ15" i="21"/>
  <c r="AJ16" i="21"/>
  <c r="AJ17" i="21"/>
  <c r="AJ18" i="21"/>
  <c r="AJ19" i="21"/>
  <c r="AJ20" i="21"/>
  <c r="AJ12" i="21"/>
  <c r="AJ21" i="21"/>
  <c r="AJ22" i="21"/>
  <c r="AJ14" i="21"/>
  <c r="AJ23" i="21"/>
  <c r="Q16" i="21"/>
  <c r="BD20" i="21"/>
  <c r="R21" i="21"/>
  <c r="H10" i="21"/>
  <c r="D10" i="21"/>
  <c r="N21" i="21"/>
  <c r="BI11" i="21"/>
  <c r="Q15" i="21"/>
  <c r="X14" i="21"/>
  <c r="A23" i="8"/>
  <c r="Q6" i="6"/>
  <c r="N45" i="1"/>
  <c r="AK11" i="1"/>
  <c r="AF7" i="1"/>
  <c r="D21" i="4"/>
  <c r="J21" i="4" s="1"/>
  <c r="AF10" i="1"/>
  <c r="D21" i="5"/>
  <c r="D26" i="5" s="1"/>
  <c r="Q28" i="6"/>
  <c r="O15" i="21" l="1"/>
  <c r="R19" i="21"/>
  <c r="O16" i="21"/>
  <c r="O12" i="21"/>
  <c r="B5" i="1"/>
  <c r="R47" i="1" s="1"/>
  <c r="Q7" i="6"/>
  <c r="O11" i="21"/>
  <c r="AI24" i="21"/>
  <c r="F3" i="21"/>
  <c r="F4" i="21"/>
  <c r="P15" i="21"/>
  <c r="BI17" i="21"/>
  <c r="BK11" i="21"/>
  <c r="AZ26" i="21"/>
  <c r="AZ12" i="21"/>
  <c r="AI16" i="21"/>
  <c r="AI17" i="21"/>
  <c r="AI19" i="21"/>
  <c r="AI20" i="21"/>
  <c r="AI21" i="21"/>
  <c r="AI22" i="21"/>
  <c r="AI23" i="21"/>
  <c r="AI12" i="21"/>
  <c r="AI18" i="21"/>
  <c r="AI13" i="21"/>
  <c r="AI15" i="21"/>
  <c r="AI14" i="21"/>
  <c r="P16" i="21"/>
  <c r="BD19" i="21"/>
  <c r="R20" i="21"/>
  <c r="N20" i="21"/>
  <c r="A24" i="8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26" i="6"/>
  <c r="A27" i="6" s="1"/>
  <c r="A28" i="6" s="1"/>
  <c r="AK26" i="1"/>
  <c r="AL11" i="1" s="1"/>
  <c r="AF18" i="1"/>
  <c r="AG7" i="1" s="1"/>
  <c r="O36" i="1"/>
  <c r="O38" i="1"/>
  <c r="O35" i="1"/>
  <c r="O39" i="1"/>
  <c r="O37" i="1"/>
  <c r="O34" i="1"/>
  <c r="O42" i="1"/>
  <c r="B3" i="1"/>
  <c r="R48" i="1" s="1"/>
  <c r="K21" i="5"/>
  <c r="U49" i="1" l="1"/>
  <c r="C4" i="1"/>
  <c r="N46" i="1"/>
  <c r="R33" i="1"/>
  <c r="AB13" i="1"/>
  <c r="BK17" i="21"/>
  <c r="BL11" i="21" s="1"/>
  <c r="R34" i="1"/>
  <c r="U50" i="1"/>
  <c r="A30" i="6"/>
  <c r="Q12" i="13"/>
  <c r="S12" i="13" s="1"/>
  <c r="E6" i="8"/>
  <c r="E15" i="29" s="1"/>
  <c r="E5" i="8"/>
  <c r="N47" i="1"/>
  <c r="U5" i="13"/>
  <c r="S15" i="13"/>
  <c r="Q9" i="13"/>
  <c r="N13" i="13"/>
  <c r="O13" i="13"/>
  <c r="S2" i="13"/>
  <c r="S16" i="13"/>
  <c r="P10" i="13"/>
  <c r="N17" i="31" s="1"/>
  <c r="AG10" i="1"/>
  <c r="AL26" i="1"/>
  <c r="AL10" i="1"/>
  <c r="AL13" i="1"/>
  <c r="AL20" i="1"/>
  <c r="AL16" i="1"/>
  <c r="AL18" i="1"/>
  <c r="AL22" i="1"/>
  <c r="AL8" i="1"/>
  <c r="AL7" i="1"/>
  <c r="AL15" i="1"/>
  <c r="AL14" i="1"/>
  <c r="AL17" i="1"/>
  <c r="AL21" i="1"/>
  <c r="AL12" i="1"/>
  <c r="AL9" i="1"/>
  <c r="AL19" i="1"/>
  <c r="AG18" i="1"/>
  <c r="AG12" i="1"/>
  <c r="AG13" i="1"/>
  <c r="AG9" i="1"/>
  <c r="AG14" i="1"/>
  <c r="AG8" i="1"/>
  <c r="AG11" i="1"/>
  <c r="C3" i="1"/>
  <c r="AB14" i="1"/>
  <c r="A31" i="6" l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F5" i="8"/>
  <c r="E14" i="29"/>
  <c r="BJ17" i="21"/>
  <c r="BL14" i="21"/>
  <c r="BL13" i="21"/>
  <c r="BL10" i="21"/>
  <c r="BL12" i="21"/>
  <c r="R12" i="13"/>
  <c r="F6" i="8"/>
  <c r="O6" i="13"/>
  <c r="O18" i="13" s="1"/>
  <c r="P6" i="13"/>
  <c r="P18" i="13" s="1"/>
  <c r="N6" i="13"/>
  <c r="N18" i="13" s="1"/>
  <c r="R9" i="13"/>
  <c r="Q6" i="13"/>
  <c r="Q18" i="13" s="1"/>
  <c r="S9" i="13"/>
  <c r="R10" i="13"/>
  <c r="S10" i="13"/>
  <c r="R13" i="13"/>
  <c r="S14" i="13"/>
  <c r="R14" i="13"/>
  <c r="R18" i="13" l="1"/>
  <c r="Q7" i="13"/>
  <c r="O7" i="13"/>
  <c r="P7" i="13"/>
  <c r="W31" i="21"/>
  <c r="W32" i="21" s="1"/>
  <c r="G15" i="29"/>
  <c r="I15" i="29" s="1"/>
  <c r="L15" i="29" s="1"/>
  <c r="G5" i="8"/>
  <c r="G14" i="29"/>
  <c r="I14" i="29" s="1"/>
  <c r="N7" i="13"/>
  <c r="R6" i="13"/>
  <c r="W33" i="21" l="1"/>
  <c r="L14" i="29"/>
  <c r="L2" i="29" s="1"/>
  <c r="I2" i="29"/>
  <c r="G3" i="8"/>
  <c r="W27" i="21"/>
  <c r="R7" i="13"/>
  <c r="N16" i="31" s="1"/>
  <c r="N15" i="31" s="1"/>
  <c r="N19" i="31" s="1"/>
  <c r="C10" i="31" l="1"/>
  <c r="C25" i="31" s="1"/>
  <c r="C26" i="31" s="1"/>
  <c r="I10" i="31"/>
  <c r="I24" i="31" s="1"/>
  <c r="X11" i="21"/>
  <c r="X18" i="21" s="1"/>
  <c r="W28" i="21"/>
  <c r="W29" i="21"/>
  <c r="X20" i="21" l="1"/>
  <c r="X19" i="21"/>
  <c r="B12" i="21" l="1" a="1"/>
  <c r="B12" i="21"/>
  <c r="C12" i="21"/>
  <c r="D12" i="21"/>
  <c r="F12" i="21" a="1"/>
  <c r="F12" i="21"/>
  <c r="G12" i="21"/>
  <c r="H12" i="21"/>
  <c r="B13" i="21" a="1"/>
  <c r="B13" i="21"/>
  <c r="C13" i="21"/>
  <c r="D13" i="21"/>
  <c r="F13" i="21" a="1"/>
  <c r="F13" i="21"/>
  <c r="G13" i="21"/>
  <c r="H13" i="21"/>
  <c r="B14" i="21" a="1"/>
  <c r="B14" i="21"/>
  <c r="C14" i="21"/>
  <c r="D14" i="21"/>
  <c r="F14" i="21" a="1"/>
  <c r="F14" i="21"/>
  <c r="G14" i="21"/>
  <c r="H14" i="21"/>
  <c r="B15" i="21" a="1"/>
  <c r="B15" i="21"/>
  <c r="C15" i="21"/>
  <c r="D15" i="21"/>
  <c r="F15" i="21" a="1"/>
  <c r="F15" i="21"/>
  <c r="G15" i="21"/>
  <c r="H15" i="21"/>
  <c r="B16" i="21" a="1"/>
  <c r="B16" i="21"/>
  <c r="C16" i="21"/>
  <c r="D16" i="21"/>
  <c r="F16" i="21" a="1"/>
  <c r="F16" i="21"/>
  <c r="G16" i="21"/>
  <c r="H16" i="21"/>
  <c r="B17" i="21" a="1"/>
  <c r="B17" i="21"/>
  <c r="C17" i="21"/>
  <c r="D17" i="21"/>
  <c r="F17" i="21" a="1"/>
  <c r="F17" i="21"/>
  <c r="G17" i="21"/>
  <c r="H1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1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  <comment ref="S16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30" authorId="0" shapeId="0" xr:uid="{00000000-0006-0000-1000-000001000000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current value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  <comment ref="O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</commentList>
</comments>
</file>

<file path=xl/sharedStrings.xml><?xml version="1.0" encoding="utf-8"?>
<sst xmlns="http://schemas.openxmlformats.org/spreadsheetml/2006/main" count="2463" uniqueCount="605">
  <si>
    <t>Balance Sheet As on 30.06.2025</t>
  </si>
  <si>
    <t>S.no</t>
  </si>
  <si>
    <t>Particulars</t>
  </si>
  <si>
    <t>Category</t>
  </si>
  <si>
    <t>30.06.2025</t>
  </si>
  <si>
    <t>Rishabh Nahar</t>
  </si>
  <si>
    <t>Equity</t>
  </si>
  <si>
    <t>MCPL</t>
  </si>
  <si>
    <t>Investment</t>
  </si>
  <si>
    <t>Ramesh Nahar</t>
  </si>
  <si>
    <t>Zerodha Total RN</t>
  </si>
  <si>
    <t>Sushila Nahar</t>
  </si>
  <si>
    <t>Zerodha Loaned MCPL</t>
  </si>
  <si>
    <t>Equity Loans</t>
  </si>
  <si>
    <t>Zerodha Loan MCPL Eq</t>
  </si>
  <si>
    <t>Personal Loans</t>
  </si>
  <si>
    <t>Debt</t>
  </si>
  <si>
    <t>Qode Advisors LLP</t>
  </si>
  <si>
    <t>Current Year Profits RN</t>
  </si>
  <si>
    <t>Qode Securitites</t>
  </si>
  <si>
    <t>Unrelealised Profits RN</t>
  </si>
  <si>
    <t>Rekha Kothari</t>
  </si>
  <si>
    <t>Swan</t>
  </si>
  <si>
    <t>Loan</t>
  </si>
  <si>
    <t>Sailesh Nahar</t>
  </si>
  <si>
    <t>Less: Tax( SA + Advance)</t>
  </si>
  <si>
    <t>Qode Advisors PMS</t>
  </si>
  <si>
    <t>Yogita Gift</t>
  </si>
  <si>
    <t>Ware Innovations</t>
  </si>
  <si>
    <t>Jainam Nimai Loss</t>
  </si>
  <si>
    <t>Company Capital</t>
  </si>
  <si>
    <t>Loan Ac</t>
  </si>
  <si>
    <t>Zerodha Total MCPL</t>
  </si>
  <si>
    <t>Capital</t>
  </si>
  <si>
    <t>Aurus Alpha LLP</t>
  </si>
  <si>
    <t>SPF Debtors</t>
  </si>
  <si>
    <t>Rishabh Nahar Capital</t>
  </si>
  <si>
    <t>Bank Balance</t>
  </si>
  <si>
    <t>Unrealised Profits MCL</t>
  </si>
  <si>
    <t>Unrelealised Profits MCL</t>
  </si>
  <si>
    <t>Consultancy Income CY</t>
  </si>
  <si>
    <t>Liquidity:</t>
  </si>
  <si>
    <t>Sr. No.</t>
  </si>
  <si>
    <t>Value</t>
  </si>
  <si>
    <t>Sushila Nahar Equity MF</t>
  </si>
  <si>
    <t>Yogita Agrawal QGF</t>
  </si>
  <si>
    <t>Karan SPF</t>
  </si>
  <si>
    <t>Loan to Vihaan</t>
  </si>
  <si>
    <t>Fancy Nahar Current Account</t>
  </si>
  <si>
    <t>Deepak Nahar Current Account - Qode</t>
  </si>
  <si>
    <t>Aurus Alpha FD Deposit</t>
  </si>
  <si>
    <t>PMS QFH Strategy</t>
  </si>
  <si>
    <t>HDFC Bank RN</t>
  </si>
  <si>
    <t>HDFC Bank Mishayan</t>
  </si>
  <si>
    <t>YG</t>
  </si>
  <si>
    <t>Interest Hand</t>
  </si>
  <si>
    <t>Pending Liquidity</t>
  </si>
  <si>
    <t>World One 11N2</t>
  </si>
  <si>
    <t>Gold</t>
  </si>
  <si>
    <t>Debt:</t>
  </si>
  <si>
    <t>Networth:</t>
  </si>
  <si>
    <t>Liquidity</t>
  </si>
  <si>
    <t>Less: Debt</t>
  </si>
  <si>
    <t>Networth</t>
  </si>
  <si>
    <t>Grand Total</t>
  </si>
  <si>
    <t>Other Investments</t>
  </si>
  <si>
    <t>Prop Deposits</t>
  </si>
  <si>
    <t>FD</t>
  </si>
  <si>
    <t>Zerodha Broking RN: EQ Holdings</t>
  </si>
  <si>
    <t>Zerodha Broking RN: Cash</t>
  </si>
  <si>
    <t>Zerodha Broking Mishayan: EQ Holdings</t>
  </si>
  <si>
    <t>Zerodha Broking Mishayan: EQ Mutual Fund</t>
  </si>
  <si>
    <t>Zerodha Broking Mishayan: Debt Mutual Fund</t>
  </si>
  <si>
    <t>Zerodha Broking Mishayan: Liquidbees/ Liquidcase</t>
  </si>
  <si>
    <t>Zerodha Broking Mishayan: Cash</t>
  </si>
  <si>
    <t>Mishayan Zerodha Client Account</t>
  </si>
  <si>
    <t>Equity / Debt</t>
  </si>
  <si>
    <t>Swan Capital</t>
  </si>
  <si>
    <t>Cash</t>
  </si>
  <si>
    <t>Equity / Debt / Gold Backed Debt / Cash</t>
  </si>
  <si>
    <t>Symbol</t>
  </si>
  <si>
    <t>Mastersheet Tag</t>
  </si>
  <si>
    <t>Exchange</t>
  </si>
  <si>
    <t>Quantity</t>
  </si>
  <si>
    <t>Avg Price</t>
  </si>
  <si>
    <t>Broker</t>
  </si>
  <si>
    <t>Debt/Equity</t>
  </si>
  <si>
    <t>LTP</t>
  </si>
  <si>
    <t>Buy Value</t>
  </si>
  <si>
    <t>Value as of Today</t>
  </si>
  <si>
    <t>PNL Amount</t>
  </si>
  <si>
    <t>% PNL</t>
  </si>
  <si>
    <t>NSE</t>
  </si>
  <si>
    <t>Zerodha</t>
  </si>
  <si>
    <t>IIFLCAPS</t>
  </si>
  <si>
    <t>REGENCY</t>
  </si>
  <si>
    <t>BSE</t>
  </si>
  <si>
    <t>ALPEXSOLAR-SM</t>
  </si>
  <si>
    <t>paste output below:</t>
  </si>
  <si>
    <t>Sub Category</t>
  </si>
  <si>
    <t>ISIN</t>
  </si>
  <si>
    <t>Scheme Code</t>
  </si>
  <si>
    <t>NAV</t>
  </si>
  <si>
    <t>MOTILAL OSWAL NIFTY 500 MOMENTUM 50 INDEX FUND - DIRECT PLAN</t>
  </si>
  <si>
    <t>INF247L01DL6</t>
  </si>
  <si>
    <t>KOTAK NIFTY 200 MOMENTUM 30 INDEX FUND - DIRECT PLAN</t>
  </si>
  <si>
    <t>INF174KA1OB1</t>
  </si>
  <si>
    <t>PARAG PARIKH ELSS TAX SAVER FUND - DIRECT PLAN</t>
  </si>
  <si>
    <t>INF879O01100</t>
  </si>
  <si>
    <t>QUANT LARGE CAP FUND - DIRECT PLAN</t>
  </si>
  <si>
    <t>INF966L01AT0</t>
  </si>
  <si>
    <t>ICICI PRUDENTIAL NIFTY 100 LOW VOLATILITY 30 ETF FOF - DIRECT PLAN</t>
  </si>
  <si>
    <t>INF109KC1P81</t>
  </si>
  <si>
    <t>EDELWEISS NIFTY MIDCAP 150 MOMENTUM 50 INDEX FUND - DIRECT PLAN</t>
  </si>
  <si>
    <t>TATA NIFTY MIDCAP 150 MOMENTUM 50 INDEX FUND - DIRECT PLAN</t>
  </si>
  <si>
    <t>INF277KA1612</t>
  </si>
  <si>
    <t>TATA LIQUID FUND - DIRECT PLAN</t>
  </si>
  <si>
    <t>ADITYA BIRLA SUN LIFE LIQUID FUND - DIRECT PLAN</t>
  </si>
  <si>
    <t>ADITYA BIRLA SUN LIFE MONEY MANAGER FUND - DIRECT PLAN</t>
  </si>
  <si>
    <t>INF209K01UU3</t>
  </si>
  <si>
    <t>Momentum</t>
  </si>
  <si>
    <t>Large Cap</t>
  </si>
  <si>
    <t>Liquid</t>
  </si>
  <si>
    <t>Zerodha Broking RN: EQ Mutual Funds</t>
  </si>
  <si>
    <t>Equity Categorisation</t>
  </si>
  <si>
    <t>Column</t>
  </si>
  <si>
    <t>Debt Categorisation</t>
  </si>
  <si>
    <t>Total Value</t>
  </si>
  <si>
    <t>%</t>
  </si>
  <si>
    <t>Sr.No.</t>
  </si>
  <si>
    <t>Account</t>
  </si>
  <si>
    <t>Strategy Name</t>
  </si>
  <si>
    <t>Position Sizing</t>
  </si>
  <si>
    <t>Exposure</t>
  </si>
  <si>
    <t>Long Options</t>
  </si>
  <si>
    <t>Net Exposure</t>
  </si>
  <si>
    <t>PSAR</t>
  </si>
  <si>
    <t>Put Protection</t>
  </si>
  <si>
    <t>SRE</t>
  </si>
  <si>
    <t>Aurus Alpha</t>
  </si>
  <si>
    <t>Aurus Alpha Deposit</t>
  </si>
  <si>
    <t>Deepak Nahar</t>
  </si>
  <si>
    <t>Phase 2:</t>
  </si>
  <si>
    <t>to be done later</t>
  </si>
  <si>
    <t>paste mastersheet</t>
  </si>
  <si>
    <t>look at live nav numbers</t>
  </si>
  <si>
    <t>create summary table</t>
  </si>
  <si>
    <t>Row Labels</t>
  </si>
  <si>
    <t>Strategy</t>
  </si>
  <si>
    <t>Total Exposure in Mishayan for Long &amp; Psar:</t>
  </si>
  <si>
    <t>Inputs:</t>
  </si>
  <si>
    <t>Cash and Non Cash Component</t>
  </si>
  <si>
    <t>Input</t>
  </si>
  <si>
    <t>System</t>
  </si>
  <si>
    <t>Cash Component (Liquid Funds)</t>
  </si>
  <si>
    <t>Non Cash Component</t>
  </si>
  <si>
    <t>Liquidbees</t>
  </si>
  <si>
    <t xml:space="preserve">Cash  </t>
  </si>
  <si>
    <t>Total</t>
  </si>
  <si>
    <t>Long Options PS</t>
  </si>
  <si>
    <t>PSAR Multiplier</t>
  </si>
  <si>
    <t>Available on Zerodha</t>
  </si>
  <si>
    <t>Current Cash %</t>
  </si>
  <si>
    <t>Psar Leverage</t>
  </si>
  <si>
    <t>Total Required</t>
  </si>
  <si>
    <t>Cash Drawdown Margin</t>
  </si>
  <si>
    <t>Margin Excess/Shortfall</t>
  </si>
  <si>
    <t>Liquidbees Drawdown Margin</t>
  </si>
  <si>
    <t>DMA Cash Requirement</t>
  </si>
  <si>
    <t>Gold Fut + PRCS Leverage</t>
  </si>
  <si>
    <t>Gold PRCS Cash</t>
  </si>
  <si>
    <t>DMA</t>
  </si>
  <si>
    <t>Gold Fut + PRCS</t>
  </si>
  <si>
    <t>Note:</t>
  </si>
  <si>
    <t>Cash + DD Margin for 3x psar is 15%</t>
  </si>
  <si>
    <t>Cash + DD Margin for 2x psar is 5%</t>
  </si>
  <si>
    <t>Cash:LBS Ratio will always be 2:1</t>
  </si>
  <si>
    <t>Total Debt Exposure for Gold:</t>
  </si>
  <si>
    <t>Zerodha Broking RN:</t>
  </si>
  <si>
    <t>Zerodha Broking Mishayan:</t>
  </si>
  <si>
    <t>Total Exposure</t>
  </si>
  <si>
    <t>Assets Owned Directly/Indirectly</t>
  </si>
  <si>
    <t>Gold - India</t>
  </si>
  <si>
    <t>Leverage on Networth</t>
  </si>
  <si>
    <t>Leverage on Liquidity</t>
  </si>
  <si>
    <t>Portfolio Risk</t>
  </si>
  <si>
    <t>separate eq matrix because once we take other future exposure eg defence, it will be added here</t>
  </si>
  <si>
    <t>Gold India</t>
  </si>
  <si>
    <t>Return Expectation</t>
  </si>
  <si>
    <t>Exposure Values</t>
  </si>
  <si>
    <t>Expected Returns</t>
  </si>
  <si>
    <t>Profits</t>
  </si>
  <si>
    <t>% of Networth</t>
  </si>
  <si>
    <t>% of Liquidity</t>
  </si>
  <si>
    <t>% of total profit</t>
  </si>
  <si>
    <t>Less: Interest</t>
  </si>
  <si>
    <t>Tasks</t>
  </si>
  <si>
    <t>Due date</t>
  </si>
  <si>
    <t>Performance Tracking</t>
  </si>
  <si>
    <t>Deployment of Excess Cash on Books</t>
  </si>
  <si>
    <t>05.08.2025</t>
  </si>
  <si>
    <t>New Strategies/Equities Deployment Plan</t>
  </si>
  <si>
    <t>a. Drawdown Deployment Plan for Equities</t>
  </si>
  <si>
    <t>b. Leverage using Gold and Equities: QAW at 2x</t>
  </si>
  <si>
    <t>c. Equity Futures using some leverage since margin is empty</t>
  </si>
  <si>
    <t>d. Consider tax numbers in all calculations</t>
  </si>
  <si>
    <t>e. Work Backwards: what needs to be done to make more</t>
  </si>
  <si>
    <t>Working Capital Debt on Portfolio</t>
  </si>
  <si>
    <t>Deployment in Nasdaq using broker dealer strucutre and grd</t>
  </si>
  <si>
    <t>Open IB Tws USA account</t>
  </si>
  <si>
    <t>Gold at 2x using Trend Following system</t>
  </si>
  <si>
    <t>Equities at 2x using Trend Following System: 10 stock Momentum Portfolio</t>
  </si>
  <si>
    <t>Low Vol</t>
  </si>
  <si>
    <t>HDFC NIFTY 200 MOMENTUM 30 INDEX FUND</t>
  </si>
  <si>
    <t>Personal Stock Holdings Zerodha</t>
  </si>
  <si>
    <t>1. System Should always run</t>
  </si>
  <si>
    <t>2. System should not shut if dd is under 10%</t>
  </si>
  <si>
    <t>3. Maintain enough deposit to run the system</t>
  </si>
  <si>
    <t>4. Should not be running last minute for deposit</t>
  </si>
  <si>
    <t>Deposit</t>
  </si>
  <si>
    <t>Lev</t>
  </si>
  <si>
    <t>5. Don’t take payout if scaling up and 10% is not maintained</t>
  </si>
  <si>
    <t>DEEPAKFERT</t>
  </si>
  <si>
    <t>ZTECH-SM</t>
  </si>
  <si>
    <t>ICRA</t>
  </si>
  <si>
    <t>WELCORP</t>
  </si>
  <si>
    <t>SBFC</t>
  </si>
  <si>
    <t>SYNCOMF</t>
  </si>
  <si>
    <t>SHAKTIPUMP</t>
  </si>
  <si>
    <t>KRISHANA</t>
  </si>
  <si>
    <t>PENIND</t>
  </si>
  <si>
    <t>CUB</t>
  </si>
  <si>
    <t>POKARNA</t>
  </si>
  <si>
    <t>SUPRIYA</t>
  </si>
  <si>
    <t>POWERMECH</t>
  </si>
  <si>
    <t>TCPLPACK</t>
  </si>
  <si>
    <t>DYCL</t>
  </si>
  <si>
    <t>INDIASHLTR</t>
  </si>
  <si>
    <t>ALLETEC-SM</t>
  </si>
  <si>
    <t>KARURVYSYA</t>
  </si>
  <si>
    <t>BALUFORGE</t>
  </si>
  <si>
    <t>KRBL</t>
  </si>
  <si>
    <t>SHREEPUSHK</t>
  </si>
  <si>
    <t>BBOX</t>
  </si>
  <si>
    <t>SRM</t>
  </si>
  <si>
    <t>KPL</t>
  </si>
  <si>
    <t>CAPLIPOINT</t>
  </si>
  <si>
    <t>SKIPPER</t>
  </si>
  <si>
    <t>STEELCAS</t>
  </si>
  <si>
    <t>HOMEFIRST</t>
  </si>
  <si>
    <t>MPSLTD</t>
  </si>
  <si>
    <t>Mutual Funds</t>
  </si>
  <si>
    <t>Personal Mutual Funds Zerodha</t>
  </si>
  <si>
    <t>AXIS NIFTY500 MOMENTUM 50 INDEX FUND - DIRECT PLAN</t>
  </si>
  <si>
    <t>LIQUIDCASE</t>
  </si>
  <si>
    <t>Stock Holdings</t>
  </si>
  <si>
    <t>QMF</t>
  </si>
  <si>
    <t>Discretionary Stock</t>
  </si>
  <si>
    <t>INF846KA1044</t>
  </si>
  <si>
    <t>Affluence</t>
  </si>
  <si>
    <t>Affluence Prop</t>
  </si>
  <si>
    <t>Long options premium</t>
  </si>
  <si>
    <t>LIC MF LIQUID FUND - DIRECT PLAN</t>
  </si>
  <si>
    <t>INF767K01DN1</t>
  </si>
  <si>
    <t>Total Equity Exposure for Put Protection</t>
  </si>
  <si>
    <t>(blank)</t>
  </si>
  <si>
    <t>PROP SIDE</t>
  </si>
  <si>
    <t>1. Payout from marwadi and marwadi accounts</t>
  </si>
  <si>
    <t>payout in gift city</t>
  </si>
  <si>
    <t>2. affluence accounts</t>
  </si>
  <si>
    <t>Zerodha Broking RN: Debt Mutual Funds</t>
  </si>
  <si>
    <t>Stock Futures</t>
  </si>
  <si>
    <t>Stock Futures Leverage</t>
  </si>
  <si>
    <t>Fancy Nahar</t>
  </si>
  <si>
    <t>QAW</t>
  </si>
  <si>
    <t>GOLDBEES</t>
  </si>
  <si>
    <t>Affluence High Risk</t>
  </si>
  <si>
    <t>ideal gold exposure to cover debt:</t>
  </si>
  <si>
    <t>Total Exposure for Jay The PM</t>
  </si>
  <si>
    <t>Gold Futures</t>
  </si>
  <si>
    <t>QAW Futures</t>
  </si>
  <si>
    <t>ICICI Bank OD</t>
  </si>
  <si>
    <t>get lev on our book and psar 3.25 cr</t>
  </si>
  <si>
    <t>Notes for Action: 12.12.2025</t>
  </si>
  <si>
    <t>Marwari Pauout for FPI and for India prop Figure</t>
  </si>
  <si>
    <t>Affluence Payout</t>
  </si>
  <si>
    <t>Jainam accounts close</t>
  </si>
  <si>
    <t>YG QAW Start and scale account</t>
  </si>
  <si>
    <t>Give Deposit to Marwari</t>
  </si>
  <si>
    <t>Update YG Profits Number and confirm with him</t>
  </si>
  <si>
    <t>Breakup of capital in the company vs in Personal</t>
  </si>
  <si>
    <t>Total Exposure wise calculation in a different sheet</t>
  </si>
  <si>
    <t>Minimize capitlal in the company, figure a method to take more on personal books</t>
  </si>
  <si>
    <t>Idea is to predict wheree money needs to be moved at least on the underlying space overall</t>
  </si>
  <si>
    <t>Try and keep max exposure on our books itself, so that profits can be compounded whenever needed.</t>
  </si>
  <si>
    <t>Start Using the OD for exposure on our books</t>
  </si>
  <si>
    <t>Mishayan / Rishabh</t>
  </si>
  <si>
    <t>Mishayan</t>
  </si>
  <si>
    <t>Risky Bets</t>
  </si>
  <si>
    <t>This should not be greater than 10%</t>
  </si>
  <si>
    <t>This should not be more than 25%</t>
  </si>
  <si>
    <t>QAW++ to run on 2x of the book</t>
  </si>
  <si>
    <t>Yogita Agrawal PMS</t>
  </si>
  <si>
    <t>PMS</t>
  </si>
  <si>
    <t>Other than this we have large cap mutual funds</t>
  </si>
  <si>
    <t>worth 2 cr</t>
  </si>
  <si>
    <t>debt</t>
  </si>
  <si>
    <t>Jainam Allocation Deposit</t>
  </si>
  <si>
    <t>Client Account</t>
  </si>
  <si>
    <t>Investment Summary</t>
  </si>
  <si>
    <t>Total Investments</t>
  </si>
  <si>
    <t>Amount</t>
  </si>
  <si>
    <t>% of Total Investments</t>
  </si>
  <si>
    <t>Equity / Aggressive</t>
  </si>
  <si>
    <t>Inflation Hedge /  Defensive</t>
  </si>
  <si>
    <t>India</t>
  </si>
  <si>
    <t>Global</t>
  </si>
  <si>
    <t>19-02-2025 Shift Hdfc and edelweiss momentum (sell in mishayan and buy in RN)</t>
  </si>
  <si>
    <t>Check for jainam deposit math and update in this sheet</t>
  </si>
  <si>
    <t>Value At Risk</t>
  </si>
  <si>
    <t>% Loss</t>
  </si>
  <si>
    <t>Loss Value</t>
  </si>
  <si>
    <t>Equities</t>
  </si>
  <si>
    <t>Total Loss</t>
  </si>
  <si>
    <t>Loss on Networth</t>
  </si>
  <si>
    <t>Loss on Liquidity</t>
  </si>
  <si>
    <t>Long Options and Psar</t>
  </si>
  <si>
    <t>Long Options Total Premium</t>
  </si>
  <si>
    <t>Psar Total Exposure</t>
  </si>
  <si>
    <t>PSAR Portfolio Values</t>
  </si>
  <si>
    <t>Sum of Net Exposure</t>
  </si>
  <si>
    <t>Portfolio Value</t>
  </si>
  <si>
    <t>Psar Multiplier</t>
  </si>
  <si>
    <t>FnO Strategies</t>
  </si>
  <si>
    <t>Underlying Book</t>
  </si>
  <si>
    <t>Equity / Debt / Gold / Cash</t>
  </si>
  <si>
    <t>Cash Categorisation</t>
  </si>
  <si>
    <t>Other Ratios</t>
  </si>
  <si>
    <t>Mishayan Capital Account Number as per Accounts</t>
  </si>
  <si>
    <t>Year</t>
  </si>
  <si>
    <t>FY</t>
  </si>
  <si>
    <t>2024-25</t>
  </si>
  <si>
    <t>Revenue</t>
  </si>
  <si>
    <t>2023-24</t>
  </si>
  <si>
    <t>Revenue / Expense</t>
  </si>
  <si>
    <t>Equity and Non Equity Profits</t>
  </si>
  <si>
    <t>Consultancy Fees</t>
  </si>
  <si>
    <t>Expense</t>
  </si>
  <si>
    <t>Mutual Fund Profits</t>
  </si>
  <si>
    <t>FnO Profits</t>
  </si>
  <si>
    <t>Fno Charges</t>
  </si>
  <si>
    <t>Equity and Non Equity Other Debits</t>
  </si>
  <si>
    <t xml:space="preserve">Note: </t>
  </si>
  <si>
    <t>FnO Open Positions End of Year</t>
  </si>
  <si>
    <t>FnO Open Positions End of Year WILL BE SUBTRACTED FROM REVENUE HENCE NEGATIVE</t>
  </si>
  <si>
    <t>FnO Open Positions Start of Year WILL BE ADDED FROM REVENUE HENCE POSITIVE</t>
  </si>
  <si>
    <t>FnO Open Positions Start of Year</t>
  </si>
  <si>
    <t>Equity Dividends</t>
  </si>
  <si>
    <t>MCX Profits</t>
  </si>
  <si>
    <t>MCX Charges</t>
  </si>
  <si>
    <t>Other</t>
  </si>
  <si>
    <t>Audit/Professional Fees</t>
  </si>
  <si>
    <t>2025-26</t>
  </si>
  <si>
    <t>Sum of Amount</t>
  </si>
  <si>
    <t>Taxes</t>
  </si>
  <si>
    <t>Salary</t>
  </si>
  <si>
    <t>Others</t>
  </si>
  <si>
    <t>Fno</t>
  </si>
  <si>
    <t>Current Open Holdings value which were purchased in Mishayan</t>
  </si>
  <si>
    <t>HDFC NIFTY200 Momentum 30 Index Fund</t>
  </si>
  <si>
    <t>Unrealised Pnl</t>
  </si>
  <si>
    <t>Mcx</t>
  </si>
  <si>
    <t>unrealised pnl</t>
  </si>
  <si>
    <t>Mcx Open Positions End of Year</t>
  </si>
  <si>
    <t>Mcx Open Positions Start of Year</t>
  </si>
  <si>
    <t>Mcx Unrealised Fut pnl at End of Year</t>
  </si>
  <si>
    <t>cash</t>
  </si>
  <si>
    <t>cash in bank</t>
  </si>
  <si>
    <t>GRD</t>
  </si>
  <si>
    <t>holdings at cost</t>
  </si>
  <si>
    <t>jainam</t>
  </si>
  <si>
    <t>rishabh loan</t>
  </si>
  <si>
    <t>advance tax</t>
  </si>
  <si>
    <t>fixed assets</t>
  </si>
  <si>
    <t>cr</t>
  </si>
  <si>
    <t>cash in hand</t>
  </si>
  <si>
    <t>Notes</t>
  </si>
  <si>
    <t>Bought in RN</t>
  </si>
  <si>
    <t>Bought in RN and Loaned to Mishayan</t>
  </si>
  <si>
    <t>Bought in Mishayan</t>
  </si>
  <si>
    <t>Current Stock Holdings in Mishayan</t>
  </si>
  <si>
    <t>Holdings</t>
  </si>
  <si>
    <t>Current Stock Holdings in RN</t>
  </si>
  <si>
    <t>Holdings Initially Bought in Mishayan</t>
  </si>
  <si>
    <t>Holdings Initially Bought in RN</t>
  </si>
  <si>
    <t>(Multiple Items)</t>
  </si>
  <si>
    <t>Current Mutual Fund Holdings in Mishayan</t>
  </si>
  <si>
    <t>Current Mutual Fund Holdings in RN</t>
  </si>
  <si>
    <t>Mutual Funds Initially Bought in Mishayan</t>
  </si>
  <si>
    <t>Mutual Funds Initially Bought in RN</t>
  </si>
  <si>
    <t>take holdings at market value</t>
  </si>
  <si>
    <t>Sum of Value</t>
  </si>
  <si>
    <t>Current Liquidity</t>
  </si>
  <si>
    <t>Mishayan Actual Liquidity</t>
  </si>
  <si>
    <t>Adjusting EQ Holdings</t>
  </si>
  <si>
    <t>Adjusting MF Holdings</t>
  </si>
  <si>
    <t>Rishabh Actual Liquidity</t>
  </si>
  <si>
    <t>Returns</t>
  </si>
  <si>
    <t>Multiplier</t>
  </si>
  <si>
    <t>Expected Returns %</t>
  </si>
  <si>
    <t>Tax Rate</t>
  </si>
  <si>
    <t>Tax</t>
  </si>
  <si>
    <t>Rishabh</t>
  </si>
  <si>
    <t>Equity Holdings</t>
  </si>
  <si>
    <t>Debt Holdings</t>
  </si>
  <si>
    <t>Equity Mutual Funds</t>
  </si>
  <si>
    <t>Debt Mutual Funds</t>
  </si>
  <si>
    <t>Tax Category</t>
  </si>
  <si>
    <t>LTCG</t>
  </si>
  <si>
    <t>FnO</t>
  </si>
  <si>
    <t>Total Returns</t>
  </si>
  <si>
    <t>Total Tax</t>
  </si>
  <si>
    <t>Capital Gains in Mishayan</t>
  </si>
  <si>
    <t>Current Value</t>
  </si>
  <si>
    <t>Total Profit</t>
  </si>
  <si>
    <t>STCG</t>
  </si>
  <si>
    <t>Date till when we can book STCG</t>
  </si>
  <si>
    <t>Equity/Debt</t>
  </si>
  <si>
    <t>VAR</t>
  </si>
  <si>
    <t>Hedge</t>
  </si>
  <si>
    <t>EXHICON</t>
  </si>
  <si>
    <t>Aurus Alpha Profit</t>
  </si>
  <si>
    <t>Sumesh</t>
  </si>
  <si>
    <t>MONIKA</t>
  </si>
  <si>
    <t>Gold PRCS</t>
  </si>
  <si>
    <t>Marwadi Deposit</t>
  </si>
  <si>
    <t>Marwadi Profits</t>
  </si>
  <si>
    <t>Marwadi</t>
  </si>
  <si>
    <t>Marwadi FPI</t>
  </si>
  <si>
    <t>HDFC Bank FD</t>
  </si>
  <si>
    <t>Marwadi FPI Profits</t>
  </si>
  <si>
    <t>Marwadi FPI Deposit (FD)</t>
  </si>
  <si>
    <t>Nimai FD</t>
  </si>
  <si>
    <t>Arvind FD</t>
  </si>
  <si>
    <t>NIPPON INDIA MONEY MANAGER FUND - DIRECT PLAN</t>
  </si>
  <si>
    <t>INF204K01ZP3</t>
  </si>
  <si>
    <t>FISCHER</t>
  </si>
  <si>
    <t>discuss</t>
  </si>
  <si>
    <t>Sushila Nahar HDFC</t>
  </si>
  <si>
    <t>Sushila Nahar Zerodha</t>
  </si>
  <si>
    <t>Off</t>
  </si>
  <si>
    <t>On</t>
  </si>
  <si>
    <t>BS</t>
  </si>
  <si>
    <t>CCAVENUE</t>
  </si>
  <si>
    <t>NEPTUNE</t>
  </si>
  <si>
    <t>Capital Needed</t>
  </si>
  <si>
    <t>LIC MF LIQUID FUND</t>
  </si>
  <si>
    <t>1.</t>
  </si>
  <si>
    <t>2.</t>
  </si>
  <si>
    <t>Excess cash in account:</t>
  </si>
  <si>
    <t>reverse dmf loan of this value from mishayan to RN. Sell that MF in RN</t>
  </si>
  <si>
    <t>3.</t>
  </si>
  <si>
    <t>4.</t>
  </si>
  <si>
    <t>5.</t>
  </si>
  <si>
    <t>6.</t>
  </si>
  <si>
    <t>Zerodha Cash</t>
  </si>
  <si>
    <t>Sumesh stock value</t>
  </si>
  <si>
    <t>7.</t>
  </si>
  <si>
    <t>Total Available</t>
  </si>
  <si>
    <t>Balance</t>
  </si>
  <si>
    <t>3 cr we can adjust with hedging in mishayan</t>
  </si>
  <si>
    <t>Sumesh FD</t>
  </si>
  <si>
    <t>15 cr in mishayan</t>
  </si>
  <si>
    <t>dd margin and excess cash</t>
  </si>
  <si>
    <t>mishayan</t>
  </si>
  <si>
    <t>od</t>
  </si>
  <si>
    <t>rn zerodha</t>
  </si>
  <si>
    <t>total</t>
  </si>
  <si>
    <t>as of now use 10 cr from here and borrow 5 cr</t>
  </si>
  <si>
    <t>gold</t>
  </si>
  <si>
    <t>low vol</t>
  </si>
  <si>
    <t>mom</t>
  </si>
  <si>
    <t>MOMENTUM50</t>
  </si>
  <si>
    <t>MOM30IETF</t>
  </si>
  <si>
    <t>Sumesh Stock Buy Value</t>
  </si>
  <si>
    <t>Total CV available for Sumesh</t>
  </si>
  <si>
    <t>Balance cash to keep in RN Zerodha</t>
  </si>
  <si>
    <t>Available cash in RN Zerodha</t>
  </si>
  <si>
    <t>Cash Excess/Shortfall</t>
  </si>
  <si>
    <t>RN Zerodha Cash:</t>
  </si>
  <si>
    <t>25 lacs gone from deepak nahar</t>
  </si>
  <si>
    <t>Min: 15 cr needed</t>
  </si>
  <si>
    <t>1. Sell LIC Liquid MF in RN and give loan to Mishayan</t>
  </si>
  <si>
    <t>2. GRD</t>
  </si>
  <si>
    <t>3. Swan Capital</t>
  </si>
  <si>
    <t>first confirm with karan if we take in swan or not</t>
  </si>
  <si>
    <t>4. HDFC Bank RN</t>
  </si>
  <si>
    <t>5. HDFC Bank Mishayan</t>
  </si>
  <si>
    <t>6. OD</t>
  </si>
  <si>
    <t>7. Excess cash in RN Zerodha</t>
  </si>
  <si>
    <t>8. Excess cash in Mishayan Zerodha</t>
  </si>
  <si>
    <t>excess cash</t>
  </si>
  <si>
    <t>dd margin</t>
  </si>
  <si>
    <t>Total available</t>
  </si>
  <si>
    <t>in this sumesh cannot buy any stock in this time frame</t>
  </si>
  <si>
    <t>KRISHNADEF</t>
  </si>
  <si>
    <t>Ashika</t>
  </si>
  <si>
    <t>required in mishayan</t>
  </si>
  <si>
    <t>remove loaned mfs</t>
  </si>
  <si>
    <t>add: aurus deposit</t>
  </si>
  <si>
    <t>total in mishayan</t>
  </si>
  <si>
    <t>LOANED</t>
  </si>
  <si>
    <t>AFTER REVERSAL</t>
  </si>
  <si>
    <t>Steps:</t>
  </si>
  <si>
    <t>1. Take 3.15 cr from aurus and pay from RN</t>
  </si>
  <si>
    <t>2. Buy DMF worth 4.36 cr (can use zerodha cash)</t>
  </si>
  <si>
    <t>3. once dmf is bought and pledged, reverse the loan</t>
  </si>
  <si>
    <t>4. in tranches buy eq/eqmfs and start reversing loans</t>
  </si>
  <si>
    <t>CURRENT</t>
  </si>
  <si>
    <t>11 cr</t>
  </si>
  <si>
    <t>dmf inrn</t>
  </si>
  <si>
    <t>39 lacs</t>
  </si>
  <si>
    <t>50 lacs</t>
  </si>
  <si>
    <t>cash in bank (rn+mishayan)</t>
  </si>
  <si>
    <t>4.83 cr</t>
  </si>
  <si>
    <t>cash in mishayan zerodha</t>
  </si>
  <si>
    <t>dd lc</t>
  </si>
  <si>
    <t>75 lacs</t>
  </si>
  <si>
    <t>but sell full lc</t>
  </si>
  <si>
    <t>1 cr</t>
  </si>
  <si>
    <t>18 cr</t>
  </si>
  <si>
    <t>Data as of</t>
  </si>
  <si>
    <t>Particulars 1</t>
  </si>
  <si>
    <t>Particulars 2</t>
  </si>
  <si>
    <t>Zerodha Broking RN</t>
  </si>
  <si>
    <t>Zerodha Broking Mishayan</t>
  </si>
  <si>
    <t>Prop</t>
  </si>
  <si>
    <t>Marwadi Prop - Deposit</t>
  </si>
  <si>
    <t>Marwadi Prop - Profit and Loss</t>
  </si>
  <si>
    <t>Marwadi FPI - Deposit</t>
  </si>
  <si>
    <t>Marwadi FPI - Profit and Loss</t>
  </si>
  <si>
    <t>Affluence Prop - Deposit</t>
  </si>
  <si>
    <t>Affluence Prop - Profit and Loss</t>
  </si>
  <si>
    <t>Affluence High Risk - Deposit</t>
  </si>
  <si>
    <t>Affluence High Risk - Profit and Loss</t>
  </si>
  <si>
    <t>Jainam</t>
  </si>
  <si>
    <t>Jainam - Deposit</t>
  </si>
  <si>
    <t>Jainam - Profit and Loss</t>
  </si>
  <si>
    <t>Jainam - Allocation Deposit</t>
  </si>
  <si>
    <t>On / Off</t>
  </si>
  <si>
    <t>Ashika Prop - Deposit</t>
  </si>
  <si>
    <t>Ashika Prop - Profit and Loss</t>
  </si>
  <si>
    <t>Cash in Bank</t>
  </si>
  <si>
    <t>OD</t>
  </si>
  <si>
    <t>Attachment Available</t>
  </si>
  <si>
    <t>Gold Holdings</t>
  </si>
  <si>
    <t>Equity Mutual Fund Holdings</t>
  </si>
  <si>
    <t>Debt Mutual Fund Holdings</t>
  </si>
  <si>
    <t>Contract Value</t>
  </si>
  <si>
    <t>Marwadi Prop</t>
  </si>
  <si>
    <t>Ashika Prop</t>
  </si>
  <si>
    <t>Profit and Loss</t>
  </si>
  <si>
    <t>Equity / Debt / Cash</t>
  </si>
  <si>
    <t>Yes</t>
  </si>
  <si>
    <t>No</t>
  </si>
  <si>
    <t>Goldbees</t>
  </si>
  <si>
    <t>Current Gold Exposure</t>
  </si>
  <si>
    <t>Ideal Gold Exposure</t>
  </si>
  <si>
    <t>based on debt</t>
  </si>
  <si>
    <t>Put Protection Exposure</t>
  </si>
  <si>
    <t>equities in zerodha</t>
  </si>
  <si>
    <t>Gold Fut Leverage</t>
  </si>
  <si>
    <t>Gold Fut</t>
  </si>
  <si>
    <t>Total % of PV</t>
  </si>
  <si>
    <t>Portoflio Value</t>
  </si>
  <si>
    <t>% Share</t>
  </si>
  <si>
    <t>Long Options Premium</t>
  </si>
  <si>
    <t>Swan Jainam Prop</t>
  </si>
  <si>
    <t>Jainam FPI</t>
  </si>
  <si>
    <t>Rishabh Jainam Prop</t>
  </si>
  <si>
    <t>Total Capital Required in Mishayan</t>
  </si>
  <si>
    <t>Yogita Agrawal Qode PMS</t>
  </si>
  <si>
    <t>Rishabh Nahar Qode PMS</t>
  </si>
  <si>
    <t>Yogita Agrawal Qode PMS - QAW</t>
  </si>
  <si>
    <t>Rishabh Nahar Qode PMS - QFH</t>
  </si>
  <si>
    <t>Yogita Agrawal Qode PMS - QMF</t>
  </si>
  <si>
    <t>Yogita Agrawal Qode PMS - QTF</t>
  </si>
  <si>
    <t>Current Cash in Mishayan</t>
  </si>
  <si>
    <t>Buy Debt mutual fund</t>
  </si>
  <si>
    <t>Buy Liquidcase</t>
  </si>
  <si>
    <t>Reverse loan to RN</t>
  </si>
  <si>
    <t>Keep Cash</t>
  </si>
  <si>
    <t>Balance Cash Available</t>
  </si>
  <si>
    <t>Outstanding OD - Actual</t>
  </si>
  <si>
    <t>Currently Payback OD</t>
  </si>
  <si>
    <t>Cash Available to deploy in Equity</t>
  </si>
  <si>
    <t>Cash in Zerodha</t>
  </si>
  <si>
    <t>Jainam Deposit</t>
  </si>
  <si>
    <t>Mishayan Loan Repayment</t>
  </si>
  <si>
    <t>Expenses</t>
  </si>
  <si>
    <t>Liquidcase</t>
  </si>
  <si>
    <t>note: if expenses increase reduce od repayment amount</t>
  </si>
  <si>
    <t>stock futures of jay not added as we will be stopping it</t>
  </si>
  <si>
    <t>Tag</t>
  </si>
  <si>
    <t>Derivatives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</si>
</sst>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#,##0.0_);\(#,##0.0\);\-\ "/>
    <numFmt numFmtId="166" formatCode="_ \ * #,##0.0_ ;_ \ * \(#,##0.0\)_ ;_ \ * &quot;-&quot;??_ ;_ @_ "/>
    <numFmt numFmtId="167" formatCode="0.00%_);\(0.00%\)"/>
    <numFmt numFmtId="168" formatCode="_ \ * #,##0.00\x_ ;_ \ * \(#,##0.00\x\)_ ;_ \ * &quot;-&quot;??_ ;_ @_ "/>
    <numFmt numFmtId="169" formatCode="0.0%_);\(0.0%\)"/>
    <numFmt numFmtId="170" formatCode="0.0\x_);\(0.0\x\);\-\ "/>
    <numFmt numFmtId="171" formatCode="#,##0.000_);\(#,##0.000\);\-\ "/>
    <numFmt numFmtId="172" formatCode="#,##0.0"/>
    <numFmt numFmtId="173" formatCode="_ \ * #,##0.00_ ;_ \ * \(#,##0.00\)_ ;_ \ * &quot;-&quot;??_ ;_ @_ "/>
    <numFmt numFmtId="174" formatCode="_ * #,##0.0_ ;_ * \-#,##0.0_ ;_ * &quot;-&quot;?_ ;_ @_ "/>
    <numFmt numFmtId="175" formatCode="0.000%_);\(0.000%\)"/>
    <numFmt numFmtId="176" formatCode="#,##0.000000"/>
    <numFmt numFmtId="177" formatCode="#,##0.000000_);\(#,##0.000000\)"/>
    <numFmt numFmtId="178" formatCode="#,##0.0000000"/>
    <numFmt numFmtId="179" formatCode="_ \ * #,##0.00000_ ;_ \ * \(#,##0.00000\)_ ;_ \ * &quot;-&quot;??_ ;_ @_ "/>
    <numFmt numFmtId="180" formatCode="0.00\x_);\(0.00\x\);\-\ "/>
  </numFmts>
  <fonts count="78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Calibri"/>
      <family val="2"/>
      <scheme val="minor"/>
    </font>
    <font>
      <b/>
      <sz val="11"/>
      <color rgb="FFFCF9EB"/>
      <name val="Aptos Narrow"/>
      <family val="2"/>
    </font>
    <font>
      <sz val="11"/>
      <color theme="1"/>
      <name val="Aptos Narrow"/>
      <family val="2"/>
    </font>
    <font>
      <b/>
      <sz val="11"/>
      <color rgb="FF02422B"/>
      <name val="Aptos Narrow"/>
      <family val="2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1"/>
      <color rgb="FF0070C0"/>
      <name val="Aptos Narrow"/>
      <family val="2"/>
    </font>
    <font>
      <sz val="11"/>
      <color rgb="FF008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indexed="9"/>
      <name val="Aptos Narrow"/>
      <family val="2"/>
    </font>
    <font>
      <b/>
      <u val="singleAccounting"/>
      <sz val="11"/>
      <color indexed="9"/>
      <name val="Aptos Narrow"/>
      <family val="2"/>
    </font>
    <font>
      <sz val="11"/>
      <color indexed="12"/>
      <name val="Aptos Narrow"/>
      <family val="2"/>
    </font>
    <font>
      <b/>
      <sz val="11"/>
      <color indexed="8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indexed="8"/>
      <name val="Aptos Narrow"/>
      <family val="2"/>
    </font>
    <font>
      <b/>
      <sz val="11"/>
      <color rgb="FF02422B"/>
      <name val="Aptos Narrow"/>
      <family val="2"/>
    </font>
    <font>
      <sz val="11"/>
      <color theme="1"/>
      <name val="Aptos Narrow"/>
      <family val="2"/>
    </font>
    <font>
      <b/>
      <sz val="11"/>
      <color rgb="FFFCF9EB"/>
      <name val="Aptos Narrow"/>
      <family val="2"/>
    </font>
    <font>
      <b/>
      <sz val="11"/>
      <color rgb="FF0070C0"/>
      <name val="Aptos Narrow"/>
      <family val="2"/>
    </font>
    <font>
      <sz val="11"/>
      <color rgb="FFFF0000"/>
      <name val="Aptos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Aptos Narrow"/>
      <family val="2"/>
    </font>
    <font>
      <sz val="11"/>
      <color rgb="FF008000"/>
      <name val="Aptos Narrow"/>
      <family val="2"/>
    </font>
    <font>
      <b/>
      <sz val="11"/>
      <color rgb="FFFCF9EB"/>
      <name val="Calibri"/>
      <family val="2"/>
      <scheme val="minor"/>
    </font>
    <font>
      <b/>
      <sz val="11"/>
      <color rgb="FF02422B"/>
      <name val="Calibri"/>
      <family val="2"/>
      <scheme val="minor"/>
    </font>
    <font>
      <sz val="11"/>
      <color rgb="FF0070C0"/>
      <name val="Aptos Narrow"/>
      <family val="2"/>
    </font>
    <font>
      <b/>
      <sz val="11"/>
      <color rgb="FF0070C0"/>
      <name val="Aptos Narrow"/>
      <family val="2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</font>
    <font>
      <sz val="11"/>
      <color rgb="FFFF00FF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2422B"/>
        <bgColor indexed="64"/>
      </patternFill>
    </fill>
    <fill>
      <patternFill patternType="solid">
        <fgColor rgb="FF002017"/>
        <bgColor indexed="64"/>
      </patternFill>
    </fill>
    <fill>
      <patternFill patternType="solid">
        <fgColor rgb="FFEFEC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BD3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2D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</cellStyleXfs>
  <cellXfs count="346">
    <xf numFmtId="0" fontId="0" fillId="0" borderId="0" xfId="0"/>
    <xf numFmtId="0" fontId="40" fillId="4" borderId="0" xfId="0" applyFont="1" applyFill="1" applyAlignment="1">
      <alignment horizontal="centerContinuous"/>
    </xf>
    <xf numFmtId="166" fontId="40" fillId="4" borderId="0" xfId="0" applyNumberFormat="1" applyFont="1" applyFill="1" applyAlignment="1">
      <alignment horizontal="centerContinuous"/>
    </xf>
    <xf numFmtId="0" fontId="41" fillId="0" borderId="0" xfId="0" applyFont="1"/>
    <xf numFmtId="166" fontId="41" fillId="0" borderId="0" xfId="0" applyNumberFormat="1" applyFont="1"/>
    <xf numFmtId="167" fontId="41" fillId="0" borderId="0" xfId="0" applyNumberFormat="1" applyFont="1"/>
    <xf numFmtId="0" fontId="42" fillId="6" borderId="0" xfId="0" applyFont="1" applyFill="1"/>
    <xf numFmtId="10" fontId="41" fillId="0" borderId="0" xfId="0" applyNumberFormat="1" applyFont="1"/>
    <xf numFmtId="0" fontId="43" fillId="0" borderId="0" xfId="0" applyFont="1"/>
    <xf numFmtId="166" fontId="41" fillId="0" borderId="2" xfId="0" applyNumberFormat="1" applyFont="1" applyBorder="1"/>
    <xf numFmtId="166" fontId="40" fillId="5" borderId="0" xfId="0" applyNumberFormat="1" applyFont="1" applyFill="1"/>
    <xf numFmtId="0" fontId="44" fillId="0" borderId="0" xfId="1" applyFont="1"/>
    <xf numFmtId="0" fontId="41" fillId="0" borderId="0" xfId="1" applyFont="1"/>
    <xf numFmtId="0" fontId="45" fillId="2" borderId="0" xfId="1" applyFont="1" applyFill="1"/>
    <xf numFmtId="0" fontId="46" fillId="2" borderId="0" xfId="1" applyFont="1" applyFill="1"/>
    <xf numFmtId="0" fontId="41" fillId="0" borderId="0" xfId="1" applyFont="1" applyAlignment="1">
      <alignment horizontal="center" vertical="center"/>
    </xf>
    <xf numFmtId="0" fontId="41" fillId="0" borderId="1" xfId="1" applyFont="1" applyBorder="1"/>
    <xf numFmtId="165" fontId="47" fillId="0" borderId="0" xfId="1" applyNumberFormat="1" applyFont="1"/>
    <xf numFmtId="165" fontId="41" fillId="0" borderId="0" xfId="1" applyNumberFormat="1" applyFont="1"/>
    <xf numFmtId="0" fontId="43" fillId="3" borderId="0" xfId="1" applyFont="1" applyFill="1"/>
    <xf numFmtId="166" fontId="43" fillId="3" borderId="1" xfId="1" applyNumberFormat="1" applyFont="1" applyFill="1" applyBorder="1"/>
    <xf numFmtId="0" fontId="43" fillId="0" borderId="0" xfId="1" applyFont="1"/>
    <xf numFmtId="165" fontId="43" fillId="0" borderId="0" xfId="1" applyNumberFormat="1" applyFont="1"/>
    <xf numFmtId="0" fontId="48" fillId="0" borderId="0" xfId="0" applyFont="1"/>
    <xf numFmtId="0" fontId="43" fillId="7" borderId="0" xfId="1" applyFont="1" applyFill="1"/>
    <xf numFmtId="165" fontId="43" fillId="7" borderId="0" xfId="1" applyNumberFormat="1" applyFont="1" applyFill="1"/>
    <xf numFmtId="0" fontId="41" fillId="7" borderId="0" xfId="1" applyFont="1" applyFill="1"/>
    <xf numFmtId="167" fontId="47" fillId="0" borderId="0" xfId="0" applyNumberFormat="1" applyFont="1"/>
    <xf numFmtId="168" fontId="47" fillId="0" borderId="0" xfId="0" applyNumberFormat="1" applyFont="1"/>
    <xf numFmtId="166" fontId="47" fillId="0" borderId="0" xfId="0" applyNumberFormat="1" applyFont="1"/>
    <xf numFmtId="0" fontId="40" fillId="4" borderId="0" xfId="1" applyFont="1" applyFill="1" applyAlignment="1">
      <alignment horizontal="centerContinuous"/>
    </xf>
    <xf numFmtId="0" fontId="42" fillId="6" borderId="0" xfId="1" applyFont="1" applyFill="1" applyAlignment="1">
      <alignment horizontal="centerContinuous"/>
    </xf>
    <xf numFmtId="166" fontId="41" fillId="0" borderId="0" xfId="1" applyNumberFormat="1" applyFont="1"/>
    <xf numFmtId="0" fontId="40" fillId="5" borderId="0" xfId="0" applyFont="1" applyFill="1"/>
    <xf numFmtId="167" fontId="40" fillId="5" borderId="0" xfId="0" applyNumberFormat="1" applyFont="1" applyFill="1"/>
    <xf numFmtId="0" fontId="50" fillId="8" borderId="0" xfId="0" applyFont="1" applyFill="1" applyAlignment="1">
      <alignment horizontal="centerContinuous"/>
    </xf>
    <xf numFmtId="169" fontId="41" fillId="0" borderId="0" xfId="0" applyNumberFormat="1" applyFont="1"/>
    <xf numFmtId="0" fontId="51" fillId="9" borderId="0" xfId="0" applyFont="1" applyFill="1" applyAlignment="1">
      <alignment horizontal="centerContinuous"/>
    </xf>
    <xf numFmtId="0" fontId="41" fillId="0" borderId="0" xfId="0" applyFont="1" applyAlignment="1">
      <alignment horizontal="centerContinuous"/>
    </xf>
    <xf numFmtId="169" fontId="52" fillId="0" borderId="0" xfId="0" applyNumberFormat="1" applyFont="1"/>
    <xf numFmtId="0" fontId="41" fillId="0" borderId="3" xfId="0" applyFont="1" applyBorder="1" applyAlignment="1">
      <alignment horizontal="centerContinuous"/>
    </xf>
    <xf numFmtId="0" fontId="41" fillId="0" borderId="3" xfId="0" applyFont="1" applyBorder="1"/>
    <xf numFmtId="170" fontId="52" fillId="0" borderId="0" xfId="0" applyNumberFormat="1" applyFont="1"/>
    <xf numFmtId="0" fontId="41" fillId="0" borderId="4" xfId="0" applyFont="1" applyBorder="1" applyAlignment="1">
      <alignment horizontal="centerContinuous"/>
    </xf>
    <xf numFmtId="0" fontId="41" fillId="0" borderId="4" xfId="0" applyFont="1" applyBorder="1"/>
    <xf numFmtId="171" fontId="52" fillId="0" borderId="4" xfId="0" applyNumberFormat="1" applyFont="1" applyBorder="1"/>
    <xf numFmtId="171" fontId="41" fillId="0" borderId="4" xfId="0" applyNumberFormat="1" applyFont="1" applyBorder="1"/>
    <xf numFmtId="0" fontId="43" fillId="0" borderId="4" xfId="0" applyFont="1" applyBorder="1"/>
    <xf numFmtId="171" fontId="43" fillId="0" borderId="4" xfId="0" applyNumberFormat="1" applyFont="1" applyBorder="1"/>
    <xf numFmtId="171" fontId="41" fillId="0" borderId="3" xfId="0" applyNumberFormat="1" applyFont="1" applyBorder="1"/>
    <xf numFmtId="4" fontId="41" fillId="0" borderId="0" xfId="0" applyNumberFormat="1" applyFont="1"/>
    <xf numFmtId="10" fontId="52" fillId="0" borderId="0" xfId="0" applyNumberFormat="1" applyFont="1"/>
    <xf numFmtId="172" fontId="41" fillId="0" borderId="0" xfId="0" applyNumberFormat="1" applyFont="1"/>
    <xf numFmtId="0" fontId="41" fillId="0" borderId="5" xfId="0" applyFont="1" applyBorder="1" applyAlignment="1">
      <alignment horizontal="centerContinuous"/>
    </xf>
    <xf numFmtId="171" fontId="41" fillId="0" borderId="5" xfId="0" applyNumberFormat="1" applyFont="1" applyBorder="1"/>
    <xf numFmtId="165" fontId="41" fillId="0" borderId="0" xfId="0" applyNumberFormat="1" applyFont="1"/>
    <xf numFmtId="43" fontId="43" fillId="0" borderId="0" xfId="0" applyNumberFormat="1" applyFont="1"/>
    <xf numFmtId="43" fontId="41" fillId="0" borderId="0" xfId="0" applyNumberFormat="1" applyFont="1"/>
    <xf numFmtId="0" fontId="50" fillId="8" borderId="6" xfId="0" applyFont="1" applyFill="1" applyBorder="1" applyAlignment="1">
      <alignment horizontal="centerContinuous"/>
    </xf>
    <xf numFmtId="0" fontId="50" fillId="8" borderId="7" xfId="0" applyFont="1" applyFill="1" applyBorder="1" applyAlignment="1">
      <alignment horizontal="centerContinuous"/>
    </xf>
    <xf numFmtId="0" fontId="41" fillId="0" borderId="8" xfId="0" applyFont="1" applyBorder="1"/>
    <xf numFmtId="0" fontId="41" fillId="0" borderId="9" xfId="0" applyFont="1" applyBorder="1"/>
    <xf numFmtId="165" fontId="53" fillId="0" borderId="10" xfId="0" applyNumberFormat="1" applyFont="1" applyBorder="1" applyAlignment="1">
      <alignment horizontal="centerContinuous"/>
    </xf>
    <xf numFmtId="165" fontId="53" fillId="0" borderId="11" xfId="0" applyNumberFormat="1" applyFont="1" applyBorder="1" applyAlignment="1">
      <alignment horizontal="centerContinuous"/>
    </xf>
    <xf numFmtId="173" fontId="42" fillId="6" borderId="0" xfId="0" applyNumberFormat="1" applyFont="1" applyFill="1"/>
    <xf numFmtId="174" fontId="41" fillId="0" borderId="0" xfId="0" applyNumberFormat="1" applyFont="1"/>
    <xf numFmtId="9" fontId="41" fillId="0" borderId="0" xfId="0" applyNumberFormat="1" applyFont="1"/>
    <xf numFmtId="174" fontId="40" fillId="5" borderId="0" xfId="0" applyNumberFormat="1" applyFont="1" applyFill="1"/>
    <xf numFmtId="175" fontId="42" fillId="6" borderId="0" xfId="0" applyNumberFormat="1" applyFont="1" applyFill="1"/>
    <xf numFmtId="0" fontId="38" fillId="0" borderId="0" xfId="0" applyFont="1"/>
    <xf numFmtId="0" fontId="38" fillId="0" borderId="0" xfId="1" applyFont="1"/>
    <xf numFmtId="164" fontId="41" fillId="0" borderId="0" xfId="0" applyNumberFormat="1" applyFont="1"/>
    <xf numFmtId="0" fontId="54" fillId="0" borderId="0" xfId="0" applyFont="1"/>
    <xf numFmtId="0" fontId="55" fillId="0" borderId="0" xfId="0" applyFont="1"/>
    <xf numFmtId="0" fontId="47" fillId="0" borderId="0" xfId="0" applyFont="1"/>
    <xf numFmtId="43" fontId="41" fillId="0" borderId="0" xfId="1" applyNumberFormat="1" applyFont="1"/>
    <xf numFmtId="0" fontId="54" fillId="0" borderId="0" xfId="1" applyFont="1"/>
    <xf numFmtId="0" fontId="41" fillId="0" borderId="0" xfId="1" applyFont="1" applyAlignment="1">
      <alignment horizontal="center"/>
    </xf>
    <xf numFmtId="0" fontId="37" fillId="0" borderId="0" xfId="0" applyFont="1"/>
    <xf numFmtId="166" fontId="0" fillId="0" borderId="0" xfId="0" applyNumberFormat="1"/>
    <xf numFmtId="167" fontId="42" fillId="6" borderId="0" xfId="0" applyNumberFormat="1" applyFont="1" applyFill="1"/>
    <xf numFmtId="172" fontId="41" fillId="0" borderId="0" xfId="1" applyNumberFormat="1" applyFont="1"/>
    <xf numFmtId="177" fontId="41" fillId="0" borderId="0" xfId="1" applyNumberFormat="1" applyFont="1"/>
    <xf numFmtId="165" fontId="52" fillId="0" borderId="0" xfId="0" applyNumberFormat="1" applyFont="1"/>
    <xf numFmtId="0" fontId="57" fillId="6" borderId="0" xfId="0" applyFont="1" applyFill="1"/>
    <xf numFmtId="0" fontId="57" fillId="6" borderId="0" xfId="0" applyFont="1" applyFill="1" applyAlignment="1">
      <alignment horizontal="centerContinuous"/>
    </xf>
    <xf numFmtId="0" fontId="58" fillId="0" borderId="0" xfId="0" applyFont="1" applyAlignment="1">
      <alignment horizontal="left"/>
    </xf>
    <xf numFmtId="166" fontId="58" fillId="0" borderId="0" xfId="0" applyNumberFormat="1" applyFont="1"/>
    <xf numFmtId="10" fontId="58" fillId="0" borderId="0" xfId="0" applyNumberFormat="1" applyFont="1"/>
    <xf numFmtId="0" fontId="59" fillId="5" borderId="0" xfId="0" applyFont="1" applyFill="1" applyAlignment="1">
      <alignment horizontal="left"/>
    </xf>
    <xf numFmtId="166" fontId="59" fillId="5" borderId="0" xfId="0" applyNumberFormat="1" applyFont="1" applyFill="1"/>
    <xf numFmtId="10" fontId="59" fillId="5" borderId="0" xfId="0" applyNumberFormat="1" applyFont="1" applyFill="1"/>
    <xf numFmtId="0" fontId="58" fillId="0" borderId="0" xfId="0" applyFont="1"/>
    <xf numFmtId="164" fontId="41" fillId="0" borderId="0" xfId="1" applyNumberFormat="1" applyFont="1"/>
    <xf numFmtId="0" fontId="36" fillId="0" borderId="0" xfId="0" applyFont="1"/>
    <xf numFmtId="0" fontId="36" fillId="0" borderId="0" xfId="1" applyFont="1"/>
    <xf numFmtId="165" fontId="47" fillId="0" borderId="0" xfId="0" applyNumberFormat="1" applyFont="1"/>
    <xf numFmtId="164" fontId="47" fillId="0" borderId="0" xfId="0" applyNumberFormat="1" applyFont="1"/>
    <xf numFmtId="165" fontId="60" fillId="0" borderId="10" xfId="0" applyNumberFormat="1" applyFont="1" applyBorder="1" applyAlignment="1">
      <alignment horizontal="centerContinuous"/>
    </xf>
    <xf numFmtId="0" fontId="60" fillId="0" borderId="11" xfId="0" applyFont="1" applyBorder="1" applyAlignment="1">
      <alignment horizontal="centerContinuous"/>
    </xf>
    <xf numFmtId="0" fontId="34" fillId="0" borderId="0" xfId="0" applyFont="1"/>
    <xf numFmtId="0" fontId="33" fillId="0" borderId="0" xfId="0" applyFont="1"/>
    <xf numFmtId="0" fontId="32" fillId="0" borderId="0" xfId="0" applyFont="1"/>
    <xf numFmtId="0" fontId="32" fillId="0" borderId="0" xfId="1" applyFont="1"/>
    <xf numFmtId="0" fontId="32" fillId="0" borderId="5" xfId="0" applyFont="1" applyBorder="1"/>
    <xf numFmtId="167" fontId="41" fillId="0" borderId="0" xfId="1" applyNumberFormat="1" applyFont="1"/>
    <xf numFmtId="0" fontId="61" fillId="0" borderId="0" xfId="0" applyFont="1"/>
    <xf numFmtId="166" fontId="32" fillId="0" borderId="0" xfId="0" applyNumberFormat="1" applyFont="1"/>
    <xf numFmtId="0" fontId="31" fillId="0" borderId="0" xfId="0" applyFont="1"/>
    <xf numFmtId="0" fontId="31" fillId="0" borderId="0" xfId="1" applyFont="1"/>
    <xf numFmtId="168" fontId="41" fillId="0" borderId="0" xfId="0" applyNumberFormat="1" applyFont="1"/>
    <xf numFmtId="168" fontId="64" fillId="0" borderId="0" xfId="0" applyNumberFormat="1" applyFont="1"/>
    <xf numFmtId="166" fontId="42" fillId="6" borderId="0" xfId="0" applyNumberFormat="1" applyFont="1" applyFill="1"/>
    <xf numFmtId="166" fontId="64" fillId="0" borderId="0" xfId="0" applyNumberFormat="1" applyFont="1"/>
    <xf numFmtId="167" fontId="64" fillId="0" borderId="0" xfId="0" applyNumberFormat="1" applyFont="1"/>
    <xf numFmtId="0" fontId="64" fillId="0" borderId="0" xfId="0" applyFont="1"/>
    <xf numFmtId="0" fontId="64" fillId="0" borderId="12" xfId="0" applyFont="1" applyBorder="1"/>
    <xf numFmtId="168" fontId="64" fillId="0" borderId="13" xfId="0" applyNumberFormat="1" applyFont="1" applyBorder="1"/>
    <xf numFmtId="0" fontId="30" fillId="0" borderId="0" xfId="1" applyFont="1"/>
    <xf numFmtId="0" fontId="47" fillId="0" borderId="0" xfId="1" applyFont="1"/>
    <xf numFmtId="0" fontId="29" fillId="0" borderId="0" xfId="1" applyFont="1"/>
    <xf numFmtId="0" fontId="29" fillId="0" borderId="0" xfId="0" applyFont="1"/>
    <xf numFmtId="165" fontId="41" fillId="0" borderId="0" xfId="1" applyNumberFormat="1" applyFont="1" applyAlignment="1">
      <alignment horizontal="center"/>
    </xf>
    <xf numFmtId="9" fontId="41" fillId="0" borderId="0" xfId="1" applyNumberFormat="1" applyFont="1"/>
    <xf numFmtId="0" fontId="28" fillId="0" borderId="0" xfId="1" applyFont="1"/>
    <xf numFmtId="0" fontId="27" fillId="0" borderId="0" xfId="0" applyFont="1"/>
    <xf numFmtId="0" fontId="59" fillId="4" borderId="0" xfId="0" applyFont="1" applyFill="1" applyAlignment="1">
      <alignment horizontal="centerContinuous"/>
    </xf>
    <xf numFmtId="0" fontId="65" fillId="0" borderId="0" xfId="0" applyFont="1"/>
    <xf numFmtId="0" fontId="27" fillId="0" borderId="0" xfId="1" applyFont="1"/>
    <xf numFmtId="10" fontId="41" fillId="0" borderId="0" xfId="3" applyNumberFormat="1" applyFont="1"/>
    <xf numFmtId="0" fontId="26" fillId="0" borderId="0" xfId="1" applyFont="1"/>
    <xf numFmtId="10" fontId="0" fillId="0" borderId="0" xfId="0" applyNumberFormat="1"/>
    <xf numFmtId="0" fontId="0" fillId="0" borderId="0" xfId="0" applyAlignment="1">
      <alignment horizontal="left"/>
    </xf>
    <xf numFmtId="0" fontId="67" fillId="6" borderId="0" xfId="0" applyFont="1" applyFill="1" applyAlignment="1">
      <alignment horizontal="centerContinuous"/>
    </xf>
    <xf numFmtId="0" fontId="0" fillId="0" borderId="0" xfId="0" pivotButton="1"/>
    <xf numFmtId="166" fontId="66" fillId="5" borderId="0" xfId="0" applyNumberFormat="1" applyFont="1" applyFill="1"/>
    <xf numFmtId="10" fontId="66" fillId="5" borderId="0" xfId="0" applyNumberFormat="1" applyFont="1" applyFill="1"/>
    <xf numFmtId="0" fontId="66" fillId="5" borderId="0" xfId="0" applyFont="1" applyFill="1" applyAlignment="1">
      <alignment horizontal="left"/>
    </xf>
    <xf numFmtId="0" fontId="58" fillId="12" borderId="0" xfId="0" applyFont="1" applyFill="1"/>
    <xf numFmtId="0" fontId="57" fillId="6" borderId="14" xfId="0" applyFont="1" applyFill="1" applyBorder="1"/>
    <xf numFmtId="166" fontId="57" fillId="6" borderId="15" xfId="0" applyNumberFormat="1" applyFont="1" applyFill="1" applyBorder="1"/>
    <xf numFmtId="0" fontId="57" fillId="6" borderId="16" xfId="0" applyFont="1" applyFill="1" applyBorder="1"/>
    <xf numFmtId="0" fontId="64" fillId="0" borderId="17" xfId="0" applyFont="1" applyBorder="1"/>
    <xf numFmtId="167" fontId="58" fillId="0" borderId="18" xfId="0" applyNumberFormat="1" applyFont="1" applyBorder="1"/>
    <xf numFmtId="0" fontId="58" fillId="0" borderId="19" xfId="0" applyFont="1" applyBorder="1"/>
    <xf numFmtId="166" fontId="58" fillId="0" borderId="20" xfId="0" applyNumberFormat="1" applyFont="1" applyBorder="1"/>
    <xf numFmtId="167" fontId="58" fillId="0" borderId="21" xfId="0" applyNumberFormat="1" applyFont="1" applyBorder="1"/>
    <xf numFmtId="0" fontId="57" fillId="6" borderId="6" xfId="0" applyFont="1" applyFill="1" applyBorder="1"/>
    <xf numFmtId="166" fontId="57" fillId="6" borderId="22" xfId="0" applyNumberFormat="1" applyFont="1" applyFill="1" applyBorder="1"/>
    <xf numFmtId="167" fontId="57" fillId="6" borderId="7" xfId="0" applyNumberFormat="1" applyFont="1" applyFill="1" applyBorder="1"/>
    <xf numFmtId="0" fontId="57" fillId="11" borderId="6" xfId="0" applyFont="1" applyFill="1" applyBorder="1"/>
    <xf numFmtId="43" fontId="57" fillId="11" borderId="7" xfId="0" applyNumberFormat="1" applyFont="1" applyFill="1" applyBorder="1"/>
    <xf numFmtId="0" fontId="58" fillId="0" borderId="8" xfId="0" applyFont="1" applyBorder="1"/>
    <xf numFmtId="167" fontId="58" fillId="0" borderId="9" xfId="0" applyNumberFormat="1" applyFont="1" applyBorder="1"/>
    <xf numFmtId="168" fontId="58" fillId="0" borderId="9" xfId="0" applyNumberFormat="1" applyFont="1" applyBorder="1"/>
    <xf numFmtId="0" fontId="68" fillId="0" borderId="0" xfId="0" applyFont="1"/>
    <xf numFmtId="9" fontId="68" fillId="0" borderId="0" xfId="0" applyNumberFormat="1" applyFont="1"/>
    <xf numFmtId="0" fontId="58" fillId="0" borderId="10" xfId="0" applyFont="1" applyBorder="1"/>
    <xf numFmtId="168" fontId="58" fillId="0" borderId="11" xfId="0" applyNumberFormat="1" applyFont="1" applyBorder="1"/>
    <xf numFmtId="168" fontId="58" fillId="0" borderId="0" xfId="0" applyNumberFormat="1" applyFont="1"/>
    <xf numFmtId="0" fontId="57" fillId="6" borderId="6" xfId="0" applyFont="1" applyFill="1" applyBorder="1" applyAlignment="1">
      <alignment horizontal="centerContinuous"/>
    </xf>
    <xf numFmtId="0" fontId="57" fillId="6" borderId="22" xfId="0" applyFont="1" applyFill="1" applyBorder="1" applyAlignment="1">
      <alignment horizontal="centerContinuous"/>
    </xf>
    <xf numFmtId="0" fontId="57" fillId="6" borderId="7" xfId="0" applyFont="1" applyFill="1" applyBorder="1" applyAlignment="1">
      <alignment horizontal="centerContinuous"/>
    </xf>
    <xf numFmtId="43" fontId="58" fillId="0" borderId="0" xfId="0" applyNumberFormat="1" applyFont="1"/>
    <xf numFmtId="167" fontId="58" fillId="0" borderId="0" xfId="0" applyNumberFormat="1" applyFont="1"/>
    <xf numFmtId="174" fontId="58" fillId="0" borderId="23" xfId="0" applyNumberFormat="1" applyFont="1" applyBorder="1"/>
    <xf numFmtId="167" fontId="58" fillId="0" borderId="23" xfId="0" applyNumberFormat="1" applyFont="1" applyBorder="1"/>
    <xf numFmtId="168" fontId="58" fillId="0" borderId="23" xfId="0" applyNumberFormat="1" applyFont="1" applyBorder="1"/>
    <xf numFmtId="166" fontId="58" fillId="0" borderId="23" xfId="0" applyNumberFormat="1" applyFont="1" applyBorder="1"/>
    <xf numFmtId="167" fontId="58" fillId="0" borderId="11" xfId="0" applyNumberFormat="1" applyFont="1" applyBorder="1"/>
    <xf numFmtId="0" fontId="57" fillId="11" borderId="0" xfId="0" applyFont="1" applyFill="1"/>
    <xf numFmtId="166" fontId="57" fillId="11" borderId="0" xfId="0" applyNumberFormat="1" applyFont="1" applyFill="1"/>
    <xf numFmtId="43" fontId="57" fillId="6" borderId="22" xfId="0" applyNumberFormat="1" applyFont="1" applyFill="1" applyBorder="1" applyAlignment="1">
      <alignment horizontal="centerContinuous"/>
    </xf>
    <xf numFmtId="167" fontId="57" fillId="11" borderId="0" xfId="0" applyNumberFormat="1" applyFont="1" applyFill="1"/>
    <xf numFmtId="0" fontId="58" fillId="0" borderId="23" xfId="0" applyFont="1" applyBorder="1"/>
    <xf numFmtId="0" fontId="57" fillId="6" borderId="3" xfId="0" applyFont="1" applyFill="1" applyBorder="1" applyAlignment="1">
      <alignment horizontal="centerContinuous"/>
    </xf>
    <xf numFmtId="166" fontId="58" fillId="0" borderId="4" xfId="0" applyNumberFormat="1" applyFont="1" applyBorder="1" applyAlignment="1">
      <alignment horizontal="center" vertical="center"/>
    </xf>
    <xf numFmtId="166" fontId="58" fillId="0" borderId="4" xfId="0" applyNumberFormat="1" applyFont="1" applyBorder="1" applyAlignment="1">
      <alignment horizontal="centerContinuous"/>
    </xf>
    <xf numFmtId="167" fontId="58" fillId="0" borderId="5" xfId="0" applyNumberFormat="1" applyFont="1" applyBorder="1" applyAlignment="1">
      <alignment horizontal="centerContinuous"/>
    </xf>
    <xf numFmtId="166" fontId="57" fillId="6" borderId="0" xfId="0" applyNumberFormat="1" applyFont="1" applyFill="1"/>
    <xf numFmtId="0" fontId="64" fillId="0" borderId="6" xfId="0" applyFont="1" applyBorder="1"/>
    <xf numFmtId="166" fontId="64" fillId="0" borderId="22" xfId="0" applyNumberFormat="1" applyFont="1" applyBorder="1"/>
    <xf numFmtId="167" fontId="58" fillId="0" borderId="22" xfId="0" applyNumberFormat="1" applyFont="1" applyBorder="1"/>
    <xf numFmtId="0" fontId="58" fillId="0" borderId="22" xfId="0" applyFont="1" applyBorder="1"/>
    <xf numFmtId="0" fontId="64" fillId="0" borderId="22" xfId="0" applyFont="1" applyBorder="1"/>
    <xf numFmtId="167" fontId="58" fillId="0" borderId="7" xfId="0" applyNumberFormat="1" applyFont="1" applyBorder="1"/>
    <xf numFmtId="0" fontId="68" fillId="0" borderId="8" xfId="0" applyFont="1" applyBorder="1"/>
    <xf numFmtId="0" fontId="58" fillId="0" borderId="9" xfId="0" applyFont="1" applyBorder="1"/>
    <xf numFmtId="0" fontId="64" fillId="0" borderId="8" xfId="0" applyFont="1" applyBorder="1"/>
    <xf numFmtId="0" fontId="68" fillId="0" borderId="10" xfId="0" applyFont="1" applyBorder="1"/>
    <xf numFmtId="0" fontId="68" fillId="0" borderId="23" xfId="0" applyFont="1" applyBorder="1"/>
    <xf numFmtId="0" fontId="69" fillId="0" borderId="0" xfId="0" applyFont="1"/>
    <xf numFmtId="174" fontId="58" fillId="0" borderId="0" xfId="0" applyNumberFormat="1" applyFont="1"/>
    <xf numFmtId="43" fontId="57" fillId="11" borderId="0" xfId="0" applyNumberFormat="1" applyFont="1" applyFill="1"/>
    <xf numFmtId="0" fontId="0" fillId="0" borderId="0" xfId="0" quotePrefix="1"/>
    <xf numFmtId="0" fontId="0" fillId="0" borderId="0" xfId="0" applyAlignment="1">
      <alignment vertical="center" wrapText="1"/>
    </xf>
    <xf numFmtId="0" fontId="66" fillId="4" borderId="0" xfId="0" applyFont="1" applyFill="1" applyAlignment="1">
      <alignment horizontal="centerContinuous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0" borderId="0" xfId="0" applyNumberFormat="1"/>
    <xf numFmtId="0" fontId="25" fillId="0" borderId="0" xfId="1" applyFont="1"/>
    <xf numFmtId="174" fontId="41" fillId="0" borderId="0" xfId="1" applyNumberFormat="1" applyFont="1"/>
    <xf numFmtId="0" fontId="25" fillId="0" borderId="0" xfId="0" applyFont="1"/>
    <xf numFmtId="166" fontId="55" fillId="0" borderId="0" xfId="0" applyNumberFormat="1" applyFont="1"/>
    <xf numFmtId="166" fontId="0" fillId="10" borderId="0" xfId="0" applyNumberFormat="1" applyFill="1" applyAlignment="1">
      <alignment vertical="center" wrapText="1"/>
    </xf>
    <xf numFmtId="166" fontId="0" fillId="10" borderId="0" xfId="0" applyNumberFormat="1" applyFill="1"/>
    <xf numFmtId="166" fontId="70" fillId="0" borderId="0" xfId="0" applyNumberFormat="1" applyFont="1"/>
    <xf numFmtId="0" fontId="70" fillId="0" borderId="0" xfId="0" applyFont="1"/>
    <xf numFmtId="174" fontId="0" fillId="0" borderId="0" xfId="0" applyNumberFormat="1"/>
    <xf numFmtId="0" fontId="72" fillId="0" borderId="0" xfId="0" applyFont="1"/>
    <xf numFmtId="0" fontId="0" fillId="13" borderId="0" xfId="0" applyFill="1"/>
    <xf numFmtId="166" fontId="71" fillId="0" borderId="0" xfId="0" applyNumberFormat="1" applyFont="1"/>
    <xf numFmtId="0" fontId="24" fillId="0" borderId="0" xfId="0" applyFont="1"/>
    <xf numFmtId="0" fontId="0" fillId="14" borderId="0" xfId="0" applyFill="1"/>
    <xf numFmtId="173" fontId="0" fillId="0" borderId="0" xfId="0" applyNumberFormat="1"/>
    <xf numFmtId="0" fontId="0" fillId="15" borderId="0" xfId="0" applyFill="1"/>
    <xf numFmtId="166" fontId="0" fillId="15" borderId="0" xfId="0" applyNumberFormat="1" applyFill="1"/>
    <xf numFmtId="0" fontId="67" fillId="11" borderId="0" xfId="0" applyFont="1" applyFill="1"/>
    <xf numFmtId="173" fontId="67" fillId="11" borderId="0" xfId="0" applyNumberFormat="1" applyFont="1" applyFill="1"/>
    <xf numFmtId="168" fontId="0" fillId="0" borderId="0" xfId="0" applyNumberFormat="1"/>
    <xf numFmtId="167" fontId="0" fillId="0" borderId="0" xfId="0" applyNumberFormat="1"/>
    <xf numFmtId="167" fontId="70" fillId="0" borderId="0" xfId="0" applyNumberFormat="1" applyFont="1"/>
    <xf numFmtId="43" fontId="67" fillId="6" borderId="0" xfId="0" applyNumberFormat="1" applyFont="1" applyFill="1" applyAlignment="1">
      <alignment horizontal="centerContinuous"/>
    </xf>
    <xf numFmtId="165" fontId="35" fillId="0" borderId="0" xfId="0" applyNumberFormat="1" applyFont="1"/>
    <xf numFmtId="0" fontId="73" fillId="0" borderId="0" xfId="0" applyFont="1"/>
    <xf numFmtId="0" fontId="57" fillId="6" borderId="24" xfId="0" applyFont="1" applyFill="1" applyBorder="1" applyAlignment="1">
      <alignment horizontal="centerContinuous"/>
    </xf>
    <xf numFmtId="0" fontId="0" fillId="0" borderId="24" xfId="0" applyBorder="1" applyAlignment="1">
      <alignment horizontal="centerContinuous"/>
    </xf>
    <xf numFmtId="0" fontId="0" fillId="0" borderId="24" xfId="0" applyBorder="1"/>
    <xf numFmtId="166" fontId="0" fillId="0" borderId="24" xfId="0" applyNumberFormat="1" applyBorder="1"/>
    <xf numFmtId="14" fontId="0" fillId="0" borderId="24" xfId="0" applyNumberFormat="1" applyBorder="1"/>
    <xf numFmtId="0" fontId="64" fillId="0" borderId="24" xfId="0" applyFont="1" applyBorder="1"/>
    <xf numFmtId="166" fontId="64" fillId="0" borderId="24" xfId="0" applyNumberFormat="1" applyFont="1" applyBorder="1"/>
    <xf numFmtId="173" fontId="58" fillId="0" borderId="0" xfId="0" applyNumberFormat="1" applyFont="1"/>
    <xf numFmtId="178" fontId="41" fillId="0" borderId="0" xfId="0" applyNumberFormat="1" applyFont="1"/>
    <xf numFmtId="0" fontId="22" fillId="0" borderId="0" xfId="1" applyFont="1"/>
    <xf numFmtId="165" fontId="61" fillId="0" borderId="0" xfId="1" applyNumberFormat="1" applyFont="1"/>
    <xf numFmtId="0" fontId="21" fillId="0" borderId="0" xfId="0" applyFont="1"/>
    <xf numFmtId="171" fontId="21" fillId="0" borderId="0" xfId="0" applyNumberFormat="1" applyFont="1"/>
    <xf numFmtId="0" fontId="20" fillId="0" borderId="0" xfId="1" applyFont="1"/>
    <xf numFmtId="0" fontId="20" fillId="0" borderId="0" xfId="0" applyFont="1"/>
    <xf numFmtId="0" fontId="23" fillId="0" borderId="0" xfId="0" applyFont="1"/>
    <xf numFmtId="0" fontId="19" fillId="0" borderId="0" xfId="0" applyFont="1"/>
    <xf numFmtId="166" fontId="76" fillId="0" borderId="0" xfId="0" applyNumberFormat="1" applyFont="1"/>
    <xf numFmtId="176" fontId="76" fillId="0" borderId="0" xfId="0" applyNumberFormat="1" applyFont="1"/>
    <xf numFmtId="43" fontId="41" fillId="0" borderId="0" xfId="2" applyFont="1" applyFill="1"/>
    <xf numFmtId="0" fontId="18" fillId="0" borderId="0" xfId="1" applyFont="1"/>
    <xf numFmtId="0" fontId="17" fillId="0" borderId="0" xfId="1" applyFont="1"/>
    <xf numFmtId="0" fontId="55" fillId="0" borderId="1" xfId="0" applyFont="1" applyBorder="1"/>
    <xf numFmtId="43" fontId="55" fillId="0" borderId="1" xfId="0" applyNumberFormat="1" applyFont="1" applyBorder="1"/>
    <xf numFmtId="0" fontId="16" fillId="0" borderId="0" xfId="1" applyFont="1"/>
    <xf numFmtId="43" fontId="55" fillId="0" borderId="0" xfId="0" applyNumberFormat="1" applyFont="1"/>
    <xf numFmtId="43" fontId="41" fillId="16" borderId="0" xfId="0" applyNumberFormat="1" applyFont="1" applyFill="1"/>
    <xf numFmtId="0" fontId="14" fillId="0" borderId="0" xfId="0" applyFont="1"/>
    <xf numFmtId="0" fontId="14" fillId="0" borderId="0" xfId="1" applyFont="1"/>
    <xf numFmtId="43" fontId="61" fillId="0" borderId="0" xfId="0" applyNumberFormat="1" applyFont="1"/>
    <xf numFmtId="0" fontId="13" fillId="0" borderId="0" xfId="1" applyFont="1"/>
    <xf numFmtId="0" fontId="0" fillId="10" borderId="0" xfId="0" applyFill="1"/>
    <xf numFmtId="9" fontId="58" fillId="0" borderId="0" xfId="0" applyNumberFormat="1" applyFont="1"/>
    <xf numFmtId="0" fontId="64" fillId="0" borderId="19" xfId="0" applyFont="1" applyBorder="1"/>
    <xf numFmtId="0" fontId="12" fillId="0" borderId="14" xfId="0" applyFont="1" applyBorder="1"/>
    <xf numFmtId="166" fontId="47" fillId="0" borderId="16" xfId="0" applyNumberFormat="1" applyFont="1" applyBorder="1"/>
    <xf numFmtId="0" fontId="12" fillId="0" borderId="17" xfId="0" applyFont="1" applyBorder="1"/>
    <xf numFmtId="165" fontId="47" fillId="0" borderId="18" xfId="0" applyNumberFormat="1" applyFont="1" applyBorder="1"/>
    <xf numFmtId="165" fontId="69" fillId="0" borderId="18" xfId="0" applyNumberFormat="1" applyFont="1" applyBorder="1"/>
    <xf numFmtId="166" fontId="41" fillId="0" borderId="18" xfId="0" applyNumberFormat="1" applyFont="1" applyBorder="1"/>
    <xf numFmtId="43" fontId="64" fillId="0" borderId="21" xfId="0" applyNumberFormat="1" applyFont="1" applyBorder="1"/>
    <xf numFmtId="0" fontId="11" fillId="0" borderId="0" xfId="1" applyFont="1"/>
    <xf numFmtId="0" fontId="0" fillId="0" borderId="0" xfId="0" applyAlignment="1">
      <alignment horizontal="right"/>
    </xf>
    <xf numFmtId="166" fontId="28" fillId="0" borderId="0" xfId="1" applyNumberFormat="1" applyFont="1"/>
    <xf numFmtId="179" fontId="41" fillId="0" borderId="0" xfId="0" applyNumberFormat="1" applyFont="1"/>
    <xf numFmtId="43" fontId="64" fillId="0" borderId="0" xfId="0" applyNumberFormat="1" applyFont="1"/>
    <xf numFmtId="0" fontId="10" fillId="0" borderId="0" xfId="1" applyFont="1"/>
    <xf numFmtId="0" fontId="10" fillId="0" borderId="0" xfId="0" applyFont="1"/>
    <xf numFmtId="180" fontId="52" fillId="0" borderId="0" xfId="0" applyNumberFormat="1" applyFont="1"/>
    <xf numFmtId="165" fontId="64" fillId="0" borderId="0" xfId="0" applyNumberFormat="1" applyFont="1"/>
    <xf numFmtId="171" fontId="64" fillId="0" borderId="0" xfId="0" applyNumberFormat="1" applyFont="1"/>
    <xf numFmtId="0" fontId="41" fillId="0" borderId="24" xfId="0" applyFont="1" applyBorder="1"/>
    <xf numFmtId="0" fontId="64" fillId="0" borderId="24" xfId="0" applyFont="1" applyBorder="1" applyAlignment="1">
      <alignment horizontal="right"/>
    </xf>
    <xf numFmtId="0" fontId="9" fillId="0" borderId="24" xfId="0" applyFont="1" applyBorder="1"/>
    <xf numFmtId="166" fontId="41" fillId="0" borderId="24" xfId="0" applyNumberFormat="1" applyFont="1" applyBorder="1"/>
    <xf numFmtId="174" fontId="41" fillId="0" borderId="24" xfId="0" applyNumberFormat="1" applyFont="1" applyBorder="1"/>
    <xf numFmtId="43" fontId="64" fillId="0" borderId="24" xfId="0" applyNumberFormat="1" applyFont="1" applyBorder="1"/>
    <xf numFmtId="165" fontId="56" fillId="0" borderId="0" xfId="1" applyNumberFormat="1" applyFont="1"/>
    <xf numFmtId="4" fontId="47" fillId="0" borderId="0" xfId="1" applyNumberFormat="1" applyFont="1"/>
    <xf numFmtId="166" fontId="47" fillId="0" borderId="0" xfId="1" applyNumberFormat="1" applyFont="1"/>
    <xf numFmtId="0" fontId="41" fillId="0" borderId="0" xfId="0" applyFont="1" applyAlignment="1">
      <alignment horizontal="left"/>
    </xf>
    <xf numFmtId="166" fontId="44" fillId="0" borderId="0" xfId="0" applyNumberFormat="1" applyFont="1"/>
    <xf numFmtId="165" fontId="47" fillId="0" borderId="0" xfId="0" applyNumberFormat="1" applyFont="1" applyAlignment="1">
      <alignment horizontal="right"/>
    </xf>
    <xf numFmtId="0" fontId="42" fillId="6" borderId="0" xfId="0" applyFont="1" applyFill="1" applyAlignment="1">
      <alignment horizontal="centerContinuous"/>
    </xf>
    <xf numFmtId="0" fontId="42" fillId="11" borderId="0" xfId="0" applyFont="1" applyFill="1" applyAlignment="1">
      <alignment horizontal="centerContinuous"/>
    </xf>
    <xf numFmtId="0" fontId="8" fillId="0" borderId="0" xfId="0" applyFont="1" applyAlignment="1">
      <alignment horizontal="left"/>
    </xf>
    <xf numFmtId="166" fontId="8" fillId="0" borderId="0" xfId="0" applyNumberFormat="1" applyFont="1"/>
    <xf numFmtId="10" fontId="8" fillId="0" borderId="0" xfId="0" applyNumberFormat="1" applyFont="1"/>
    <xf numFmtId="0" fontId="8" fillId="0" borderId="0" xfId="0" applyFont="1" applyAlignment="1">
      <alignment horizontal="left" indent="1"/>
    </xf>
    <xf numFmtId="168" fontId="8" fillId="0" borderId="0" xfId="0" applyNumberFormat="1" applyFont="1"/>
    <xf numFmtId="0" fontId="42" fillId="11" borderId="0" xfId="0" applyFont="1" applyFill="1" applyAlignment="1">
      <alignment horizontal="left"/>
    </xf>
    <xf numFmtId="166" fontId="42" fillId="11" borderId="0" xfId="0" applyNumberFormat="1" applyFont="1" applyFill="1"/>
    <xf numFmtId="168" fontId="42" fillId="11" borderId="0" xfId="0" applyNumberFormat="1" applyFont="1" applyFill="1"/>
    <xf numFmtId="10" fontId="42" fillId="11" borderId="0" xfId="0" applyNumberFormat="1" applyFont="1" applyFill="1"/>
    <xf numFmtId="0" fontId="40" fillId="5" borderId="0" xfId="0" applyFont="1" applyFill="1" applyAlignment="1">
      <alignment horizontal="left"/>
    </xf>
    <xf numFmtId="10" fontId="40" fillId="5" borderId="0" xfId="0" applyNumberFormat="1" applyFont="1" applyFill="1"/>
    <xf numFmtId="0" fontId="8" fillId="0" borderId="0" xfId="0" pivotButton="1" applyFont="1"/>
    <xf numFmtId="0" fontId="8" fillId="0" borderId="0" xfId="0" applyFont="1"/>
    <xf numFmtId="166" fontId="15" fillId="0" borderId="0" xfId="1" applyNumberFormat="1" applyFont="1"/>
    <xf numFmtId="43" fontId="7" fillId="0" borderId="0" xfId="0" applyNumberFormat="1" applyFont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173" fontId="0" fillId="10" borderId="0" xfId="0" applyNumberFormat="1" applyFill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6" fillId="0" borderId="0" xfId="1" applyFont="1"/>
    <xf numFmtId="0" fontId="5" fillId="0" borderId="0" xfId="0" applyFont="1"/>
    <xf numFmtId="0" fontId="41" fillId="10" borderId="0" xfId="1" applyFont="1" applyFill="1"/>
    <xf numFmtId="0" fontId="32" fillId="10" borderId="0" xfId="1" applyFont="1" applyFill="1"/>
    <xf numFmtId="0" fontId="22" fillId="10" borderId="0" xfId="1" applyFont="1" applyFill="1"/>
    <xf numFmtId="0" fontId="26" fillId="10" borderId="0" xfId="1" applyFont="1" applyFill="1"/>
    <xf numFmtId="0" fontId="20" fillId="10" borderId="0" xfId="1" applyFont="1" applyFill="1"/>
    <xf numFmtId="0" fontId="37" fillId="10" borderId="0" xfId="1" applyFont="1" applyFill="1"/>
    <xf numFmtId="0" fontId="31" fillId="10" borderId="0" xfId="1" applyFont="1" applyFill="1"/>
    <xf numFmtId="0" fontId="71" fillId="0" borderId="0" xfId="0" applyFont="1"/>
    <xf numFmtId="0" fontId="4" fillId="0" borderId="0" xfId="0" applyFont="1"/>
    <xf numFmtId="14" fontId="0" fillId="0" borderId="0" xfId="0" applyNumberFormat="1"/>
    <xf numFmtId="0" fontId="3" fillId="0" borderId="0" xfId="1" applyFont="1"/>
    <xf numFmtId="166" fontId="3" fillId="0" borderId="0" xfId="1" applyNumberFormat="1" applyFont="1"/>
    <xf numFmtId="165" fontId="3" fillId="0" borderId="0" xfId="1" applyNumberFormat="1" applyFont="1" applyAlignment="1">
      <alignment horizontal="center"/>
    </xf>
    <xf numFmtId="0" fontId="2" fillId="0" borderId="0" xfId="0" applyFont="1"/>
    <xf numFmtId="0" fontId="12" fillId="0" borderId="0" xfId="0" applyFont="1"/>
    <xf numFmtId="165" fontId="69" fillId="0" borderId="0" xfId="0" applyNumberFormat="1" applyFont="1"/>
    <xf numFmtId="0" fontId="9" fillId="0" borderId="0" xfId="0" applyFont="1"/>
    <xf numFmtId="0" fontId="1" fillId="0" borderId="0" xfId="0" applyFont="1"/>
    <xf numFmtId="0" fontId="1" fillId="0" borderId="4" xfId="0" applyFont="1" applyBorder="1"/>
    <xf numFmtId="167" fontId="41" fillId="0" borderId="4" xfId="0" applyNumberFormat="1" applyFont="1" applyBorder="1"/>
    <xf numFmtId="167" fontId="41" fillId="0" borderId="5" xfId="0" applyNumberFormat="1" applyFont="1" applyBorder="1"/>
    <xf numFmtId="167" fontId="41" fillId="0" borderId="3" xfId="0" applyNumberFormat="1" applyFont="1" applyBorder="1"/>
    <xf numFmtId="168" fontId="68" fillId="0" borderId="0" xfId="0" applyNumberFormat="1" applyFont="1"/>
    <xf numFmtId="171" fontId="64" fillId="0" borderId="24" xfId="0" applyNumberFormat="1" applyFont="1" applyBorder="1"/>
    <xf numFmtId="167" fontId="64" fillId="0" borderId="24" xfId="0" applyNumberFormat="1" applyFont="1" applyBorder="1"/>
    <xf numFmtId="173" fontId="70" fillId="0" borderId="0" xfId="0" applyNumberFormat="1" applyFont="1"/>
    <xf numFmtId="166" fontId="69" fillId="0" borderId="0" xfId="0" applyNumberFormat="1" applyFont="1"/>
    <xf numFmtId="165" fontId="44" fillId="0" borderId="0" xfId="0" applyNumberFormat="1" applyFont="1"/>
    <xf numFmtId="0" fontId="77" fillId="0" borderId="0" xfId="0" applyFont="1"/>
    <xf numFmtId="0" fontId="43" fillId="0" borderId="0" xfId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50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73" formatCode="_ \ * #,##0.00_ ;_ \ * \(#,##0.00\)_ ;_ \ * &quot;-&quot;??_ ;_ @_ "/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name val="Aptos Narrow"/>
        <scheme val="none"/>
      </font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>
          <bgColor rgb="FF02422B"/>
        </patternFill>
      </fill>
    </dxf>
    <dxf>
      <fill>
        <patternFill>
          <bgColor rgb="FF02422B"/>
        </patternFill>
      </fill>
    </dxf>
    <dxf>
      <numFmt numFmtId="14" formatCode="0.00%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8" formatCode="_ \ * #,##0.00\x_ ;_ \ * \(#,##0.00\x\)_ ;_ \ * &quot;-&quot;??_ ;_ @_ "/>
    </dxf>
    <dxf>
      <numFmt numFmtId="181" formatCode="_ \ * #,##0.000_ ;_ \ * \(#,##0.000\)_ ;_ \ * &quot;-&quot;??_ ;_ @_ "/>
    </dxf>
    <dxf>
      <numFmt numFmtId="173" formatCode="_ \ * #,##0.00_ ;_ \ * \(#,##0.0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alignment horizontal="centerContinuous" readingOrder="0"/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4" formatCode="0.00%"/>
    </dxf>
    <dxf>
      <numFmt numFmtId="166" formatCode="_ \ * #,##0.0_ ;_ \ * \(#,##0.0\)_ ;_ \ * &quot;-&quot;??_ ;_ @_ "/>
    </dxf>
    <dxf>
      <font>
        <name val="Aptos Narrow"/>
        <scheme val="none"/>
      </font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00000"/>
      </font>
    </dxf>
    <dxf>
      <font>
        <color rgb="FF000000"/>
      </font>
    </dxf>
    <dxf>
      <font>
        <color rgb="FFFF00FF"/>
      </font>
    </dxf>
    <dxf>
      <font>
        <color rgb="FFFF00FF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alignment horizontal="centerContinuous" readingOrder="0"/>
    </dxf>
    <dxf>
      <alignment horizontal="centerContinuous" readingOrder="0"/>
    </dxf>
    <dxf>
      <numFmt numFmtId="14" formatCode="0.00%"/>
    </dxf>
    <dxf>
      <numFmt numFmtId="166" formatCode="_ \ * #,##0.0_ ;_ \ * \(#,##0.0\)_ ;_ 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%20Sheet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RN"/>
      <sheetName val="Balance Sheet MCL"/>
      <sheetName val="Investment Summary"/>
      <sheetName val="Networth"/>
      <sheetName val="Equity Break Up"/>
      <sheetName val="Sheet1"/>
      <sheetName val="Debt Equity Ratio"/>
      <sheetName val="Current Holdings"/>
      <sheetName val="Strategy Allocations"/>
      <sheetName val="Equities"/>
      <sheetName val="Options"/>
      <sheetName val="Gold"/>
      <sheetName val="Debt"/>
    </sheetNames>
    <sheetDataSet>
      <sheetData sheetId="0">
        <row r="4">
          <cell r="I4">
            <v>28950000</v>
          </cell>
        </row>
        <row r="6">
          <cell r="I6">
            <v>189449437</v>
          </cell>
        </row>
        <row r="7">
          <cell r="I7">
            <v>16481200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1.563507407409" createdVersion="4" refreshedVersion="4" minRefreshableVersion="3" recordCount="45" xr:uid="{00000000-000A-0000-FFFF-FFFF00000000}">
  <cacheSource type="worksheet">
    <worksheetSource ref="A4:E139" sheet="Capital Account"/>
  </cacheSource>
  <cacheFields count="6">
    <cacheField name="Year" numFmtId="0">
      <sharedItems containsString="0" containsBlank="1" containsNumber="1" containsInteger="1" minValue="1" maxValue="3"/>
    </cacheField>
    <cacheField name="FY" numFmtId="0">
      <sharedItems containsBlank="1" count="5">
        <s v="2023-24"/>
        <s v="2024-25"/>
        <s v="2025-26"/>
        <m/>
        <s v="2022-23" u="1"/>
      </sharedItems>
    </cacheField>
    <cacheField name="Revenue / Expense" numFmtId="0">
      <sharedItems containsBlank="1" count="4">
        <s v="Revenue"/>
        <s v="Expense"/>
        <s v="Taxes"/>
        <m/>
      </sharedItems>
    </cacheField>
    <cacheField name="Category" numFmtId="0">
      <sharedItems containsBlank="1" count="20">
        <s v="Consultancy Fees"/>
        <s v="Equity and Non Equity Profits"/>
        <s v="Equity and Non Equity Other Debits"/>
        <s v="Mutual Fund Profits"/>
        <s v="FnO Profits"/>
        <s v="Fno Charges"/>
        <s v="FnO Open Positions End of Year"/>
        <s v="FnO Open Positions Start of Year"/>
        <s v="Equity Dividends"/>
        <s v="MCX Profits"/>
        <s v="MCX Charges"/>
        <s v="Other"/>
        <s v="Audit/Professional Fees"/>
        <s v="Taxes"/>
        <s v="Salary"/>
        <s v="Others"/>
        <s v="Mcx Open Positions End of Year"/>
        <s v="Mcx Open Positions Start of Year"/>
        <s v="Mcx Unrealised Fut pnl at End of Year"/>
        <m/>
      </sharedItems>
    </cacheField>
    <cacheField name="Amount" numFmtId="0">
      <sharedItems containsString="0" containsBlank="1" containsNumber="1" minValue="-15847722.126" maxValue="93867317.450000003"/>
    </cacheField>
    <cacheField name="Capital" numFmtId="0" formula=" IF('Revenue / Expense'=&quot;Revenue&quot;,Amount,0) - IF('Revenue / Expense'=&quot;Expense&quot;,Amount,0) - IF('Revenue / Expense'=&quot;Taxes&quot;,Amount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3642129628" createdVersion="4" refreshedVersion="8" minRefreshableVersion="3" recordCount="56" xr:uid="{00000000-000A-0000-FFFF-FFFF01000000}">
  <cacheSource type="worksheet">
    <worksheetSource ref="A3:N83" sheet="Equity Holdings"/>
  </cacheSource>
  <cacheFields count="15">
    <cacheField name="Symbol" numFmtId="0">
      <sharedItems containsBlank="1" count="44">
        <m/>
        <s v="ALLETEC-SM"/>
        <s v="ALPEXSOLAR-SM"/>
        <s v="BALUFORGE"/>
        <s v="BBOX"/>
        <s v="CAPLIPOINT"/>
        <s v="CCAVENUE"/>
        <s v="CUB"/>
        <s v="DEEPAKFERT"/>
        <s v="DYCL"/>
        <s v="EXHICON"/>
        <s v="FISCHER"/>
        <s v="GOLDBEES"/>
        <s v="HOMEFIRST"/>
        <s v="ICRA"/>
        <s v="IIFLCAPS"/>
        <s v="INDIASHLTR"/>
        <s v="KARURVYSYA"/>
        <s v="KPL"/>
        <s v="KRBL"/>
        <s v="KRISHANA"/>
        <s v="KRISHNADEF"/>
        <s v="LIQUIDCASE"/>
        <s v="MOM30IETF"/>
        <s v="MOMENTUM50"/>
        <s v="MONIKA"/>
        <s v="MPSLTD"/>
        <s v="NEPTUNE"/>
        <s v="PENIND"/>
        <s v="POKARNA"/>
        <s v="POWERMECH"/>
        <s v="REGENCY"/>
        <s v="SBFC"/>
        <s v="SHAKTIPUMP"/>
        <s v="SHREEPUSHK"/>
        <s v="SKIPPER"/>
        <s v="SRM"/>
        <s v="STEELCAS"/>
        <s v="SUPRIYA"/>
        <s v="SYNCOMF"/>
        <s v="TCPLPACK"/>
        <s v="WELCORP"/>
        <s v="ZTECH-SM"/>
        <s v="SWASTIKA" u="1"/>
      </sharedItems>
    </cacheField>
    <cacheField name="Mastersheet Tag" numFmtId="0">
      <sharedItems containsBlank="1" count="8">
        <s v="Sushila Nahar Equity MF"/>
        <s v="Yogita Agrawal PMS"/>
        <s v="PMS QFH Strategy"/>
        <s v="Sushila Nahar Zerodha"/>
        <m/>
        <s v="Personal Stock Holdings Zerodha"/>
        <s v="Stock Holdings"/>
        <s v="Stock Futures" u="1"/>
      </sharedItems>
    </cacheField>
    <cacheField name="Exchange" numFmtId="0">
      <sharedItems containsBlank="1"/>
    </cacheField>
    <cacheField name="Quantity" numFmtId="0">
      <sharedItems containsString="0" containsBlank="1" containsNumber="1" containsInteger="1" minValue="316" maxValue="435275"/>
    </cacheField>
    <cacheField name="Avg Price" numFmtId="0">
      <sharedItems containsString="0" containsBlank="1" containsNumber="1" minValue="11.84" maxValue="5913.9"/>
    </cacheField>
    <cacheField name="Broker" numFmtId="0">
      <sharedItems containsBlank="1"/>
    </cacheField>
    <cacheField name="Debt/Equity" numFmtId="0">
      <sharedItems containsBlank="1" count="4">
        <s v="Equity"/>
        <m/>
        <s v="Gold"/>
        <s v="Debt"/>
      </sharedItems>
    </cacheField>
    <cacheField name="Collateral" numFmtId="0">
      <sharedItems containsBlank="1"/>
    </cacheField>
    <cacheField name="Sub Category" numFmtId="0">
      <sharedItems containsBlank="1"/>
    </cacheField>
    <cacheField name="LTP" numFmtId="0">
      <sharedItems containsString="0" containsBlank="1" containsNumber="1" minValue="11.73" maxValue="5218.5"/>
    </cacheField>
    <cacheField name="Buy Value" numFmtId="0">
      <sharedItems containsString="0" containsBlank="1" containsNumber="1" minValue="675000" maxValue="20002643.699999999"/>
    </cacheField>
    <cacheField name="Value as of Today" numFmtId="0">
      <sharedItems containsString="0" containsBlank="1" containsNumber="1" minValue="600000" maxValue="40685877"/>
    </cacheField>
    <cacheField name="PNL Amount" numFmtId="0">
      <sharedItems containsString="0" containsBlank="1" containsNumber="1" minValue="-5402929.2869999995" maxValue="936024"/>
    </cacheField>
    <cacheField name="% PNL" numFmtId="0">
      <sharedItems containsString="0" containsBlank="1" containsNumber="1" minValue="-31.9398456308211" maxValue="41.449593273009697"/>
    </cacheField>
    <cacheField name="Notes" numFmtId="0">
      <sharedItems containsBlank="1" count="4">
        <m/>
        <s v="Bought in RN"/>
        <s v="Bought in Mishayan"/>
        <s v="Bought in RN and Loaned to Mishay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3737152776" createdVersion="4" refreshedVersion="8" minRefreshableVersion="3" recordCount="42" xr:uid="{00000000-000A-0000-FFFF-FFFF02000000}">
  <cacheSource type="worksheet">
    <worksheetSource ref="A3:O79" sheet="Mutual Funds"/>
  </cacheSource>
  <cacheFields count="16">
    <cacheField name="Symbol" numFmtId="0">
      <sharedItems containsBlank="1" count="49">
        <s v="Loan to Vihaan"/>
        <s v="Aurus Alpha Deposit"/>
        <s v="Aurus Alpha Profit"/>
        <s v="Swan Capital"/>
        <s v="YG"/>
        <s v="Interest Hand"/>
        <s v="FD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mesh FD"/>
        <m/>
        <s v="ADITYA BIRLA SUN LIFE LIQUID FUND - DIRECT PLAN"/>
        <s v="ADITYA BIRLA SUN LIFE MONEY MANAGER FUND - DIRECT PLAN"/>
        <s v="AXIS NIFTY500 MOMENTUM 50 INDEX FUND - DIRECT PLAN"/>
        <s v="ICICI PRUDENTIAL NIFTY 100 LOW VOLATILITY 30 ETF FOF - DIRECT PLAN"/>
        <s v="KOTAK NIFTY 200 MOMENTUM 30 INDEX FUND - DIRECT PLAN"/>
        <s v="LIC MF LIQUID FUND - DIRECT PLAN"/>
        <s v="MOTILAL OSWAL NIFTY 500 MOMENTUM 50 INDEX FUND - DIRECT PLAN"/>
        <s v="NIPPON INDIA MONEY MANAGER FUND - DIRECT PLAN"/>
        <s v="PARAG PARIKH ELSS TAX SAVER FUND - DIRECT PLAN"/>
        <s v="QUANT LARGE CAP FUND - DIRECT PLAN"/>
        <s v="TATA LIQUID FUND - DIRECT PLAN"/>
        <s v="TATA NIFTY MIDCAP 150 MOMENTUM 50 INDEX FUND - DIRECT PLAN"/>
        <s v="Karan" u="1"/>
        <s v="Fancy Nahar Current Account" u="1"/>
        <s v="Deepak Nahar Current Account - Qode" u="1"/>
        <s v="GRD - US Trading" u="1"/>
        <s v="HDFC Bank Mishayan" u="1"/>
        <s v="Marwari FPI" u="1"/>
        <s v="Kavan FD" u="1"/>
        <s v="HDFC NIFTY 200 MOMENTUM 30 INDEX FUND" u="1"/>
        <s v="Marwadi FPI" u="1"/>
        <s v="Aurus Alpha FD Deposit" u="1"/>
        <s v="NIPPON INDIA MONEY MARKET FUND" u="1"/>
        <s v="HDFC Bank RN" u="1"/>
        <s v="Karan SPF" u="1"/>
        <s v="Marwari" u="1"/>
        <s v="Formula1" f="1"/>
        <s v="EDELWEISS NIFTY MIDCAP 150 MOMENTUM 50 INDEX FUND - DIRECT PLAN" u="1"/>
      </sharedItems>
    </cacheField>
    <cacheField name="ISIN" numFmtId="0">
      <sharedItems containsBlank="1"/>
    </cacheField>
    <cacheField name="Scheme Code" numFmtId="0">
      <sharedItems containsString="0" containsBlank="1" containsNumber="1" containsInteger="1" minValue="118719" maxValue="153244"/>
    </cacheField>
    <cacheField name="Quantity" numFmtId="0">
      <sharedItems containsString="0" containsBlank="1" containsNumber="1" minValue="790.80700000000002" maxValue="2961797.966"/>
    </cacheField>
    <cacheField name="Avg Price" numFmtId="0">
      <sharedItems containsString="0" containsBlank="1" containsNumber="1" minValue="8.2241" maxValue="4885.2700000000004"/>
    </cacheField>
    <cacheField name="Broker" numFmtId="0">
      <sharedItems containsBlank="1"/>
    </cacheField>
    <cacheField name="Debt/Equity" numFmtId="0">
      <sharedItems containsBlank="1" count="4">
        <s v="Debt"/>
        <m/>
        <s v="Equity"/>
        <s v="Cash" u="1"/>
      </sharedItems>
    </cacheField>
    <cacheField name="Collateral" numFmtId="0">
      <sharedItems containsBlank="1"/>
    </cacheField>
    <cacheField name="Sub Category" numFmtId="0">
      <sharedItems containsBlank="1"/>
    </cacheField>
    <cacheField name="Mastersheet Tag" numFmtId="0">
      <sharedItems containsBlank="1" count="3">
        <m/>
        <s v="Mutual Funds"/>
        <s v="Personal Mutual Funds Zerodha"/>
      </sharedItems>
    </cacheField>
    <cacheField name="NAV" numFmtId="0">
      <sharedItems containsString="0" containsBlank="1" containsNumber="1" minValue="7.3845000000000001" maxValue="4990.0879999999997"/>
    </cacheField>
    <cacheField name="Buy Value" numFmtId="0">
      <sharedItems containsString="0" containsBlank="1" containsNumber="1" minValue="272796.05390239903" maxValue="49997673.399774"/>
    </cacheField>
    <cacheField name="Value as of Today" numFmtId="0">
      <sharedItems containsString="0" containsBlank="1" containsNumber="1" minValue="0" maxValue="51528622.843067303"/>
    </cacheField>
    <cacheField name="PNL Amount" numFmtId="0">
      <sharedItems containsString="0" containsBlank="1" containsNumber="1" minValue="-4244463.8111356199" maxValue="2793475.2135483902"/>
    </cacheField>
    <cacheField name="% PNL" numFmtId="0">
      <sharedItems containsString="0" containsBlank="1" containsNumber="1" minValue="-10.878165466798499" maxValue="8.4356040580255094"/>
    </cacheField>
    <cacheField name="Notes" numFmtId="0">
      <sharedItems containsBlank="1" count="4">
        <m/>
        <s v="Bought in RN and Loaned to Mishayan"/>
        <s v="Bought in Mishayan"/>
        <s v="Bought in RN"/>
      </sharedItems>
    </cacheField>
  </cacheFields>
  <calculatedItems count="1">
    <calculatedItem>
      <pivotArea cacheIndex="1" outline="0" fieldPosition="0">
        <references count="1">
          <reference field="0" count="1">
            <x v="4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242245373" createdVersion="4" refreshedVersion="8" minRefreshableVersion="3" recordCount="66" xr:uid="{00000000-000A-0000-FFFF-FFFF03000000}">
  <cacheSource type="worksheet">
    <worksheetSource ref="A3:F77" sheet="Networth Inputs - old"/>
  </cacheSource>
  <cacheFields count="6">
    <cacheField name="Sr. No." numFmtId="0">
      <sharedItems containsString="0" containsBlank="1" containsNumber="1" containsInteger="1" minValue="1" maxValue="42"/>
    </cacheField>
    <cacheField name="Category" numFmtId="0">
      <sharedItems containsBlank="1" count="5">
        <s v="Other Investments"/>
        <m/>
        <s v="Prop Deposits"/>
        <s v="FD"/>
        <s v="Client Account"/>
      </sharedItems>
    </cacheField>
    <cacheField name="Particulars" numFmtId="0">
      <sharedItems containsBlank="1" count="45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/>
    </cacheField>
    <cacheField name="Value" numFmtId="0">
      <sharedItems containsString="0" containsBlank="1" containsNumber="1" minValue="0" maxValue="185288687.27000001"/>
    </cacheField>
    <cacheField name="Mishayan / Rishabh" numFmtId="0">
      <sharedItems containsBlank="1" count="4">
        <s v="Rishabh Nahar"/>
        <m/>
        <s v="Mishayan"/>
        <s v="Deepak Nah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381365743" createdVersion="4" refreshedVersion="8" minRefreshableVersion="3" recordCount="41" xr:uid="{00000000-000A-0000-FFFF-FFFF04000000}">
  <cacheSource type="worksheet">
    <worksheetSource ref="A4:I97" sheet="Strategy Allocation Old"/>
  </cacheSource>
  <cacheFields count="9">
    <cacheField name="Sr.No." numFmtId="0">
      <sharedItems containsString="0" containsBlank="1" containsNumber="1" containsInteger="1" minValue="1" maxValue="40"/>
    </cacheField>
    <cacheField name="Account" numFmtId="0">
      <sharedItems containsBlank="1" count="12">
        <s v="Mishayan Zerodha Client Account"/>
        <s v="SRE"/>
        <s v="Aurus Alpha"/>
        <s v="Marwadi"/>
        <s v="Marwadi FPI"/>
        <s v="Affluence Prop"/>
        <s v="Ashika"/>
        <m/>
        <s v="Affluence High Risk"/>
        <s v="International" u="1"/>
        <s v="Marwari FPI" u="1"/>
        <s v="Marwari" u="1"/>
      </sharedItems>
    </cacheField>
    <cacheField name="Strategy Name" numFmtId="0">
      <sharedItems containsBlank="1" count="12">
        <s v="Long Options"/>
        <s v="PSAR"/>
        <s v="Gold"/>
        <s v="Put Protection"/>
        <s v="Stock Futures"/>
        <s v="Gold Futures"/>
        <s v="QAW Futures"/>
        <m/>
        <s v="Gold PRCS"/>
        <s v="BTC" u="1"/>
        <s v="NASDAQ" u="1"/>
        <s v="SPX" u="1"/>
      </sharedItems>
    </cacheField>
    <cacheField name="Position Sizing" numFmtId="0">
      <sharedItems containsString="0" containsBlank="1" containsNumber="1" minValue="1.4999999999999999E-2" maxValue="6"/>
    </cacheField>
    <cacheField name="Exposure" numFmtId="0">
      <sharedItems containsString="0" containsBlank="1" containsNumber="1" minValue="0" maxValue="782331813.13462067"/>
    </cacheField>
    <cacheField name="Net Exposure" numFmtId="0">
      <sharedItems containsString="0" containsBlank="1" containsNumber="1" minValue="0" maxValue="1658543443.8453958"/>
    </cacheField>
    <cacheField name="Long options premium" numFmtId="0">
      <sharedItems containsBlank="1" containsMixedTypes="1" containsNumber="1" minValue="1575" maxValue="11734977.197019309"/>
    </cacheField>
    <cacheField name="Deposit" numFmtId="0">
      <sharedItems containsString="0" containsBlank="1" containsNumber="1" containsInteger="1" minValue="2625000" maxValue="74415812"/>
    </cacheField>
    <cacheField name="Lev" numFmtId="0">
      <sharedItems containsString="0" containsBlank="1" containsNumber="1" minValue="7" maxValue="34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483217595" createdVersion="4" refreshedVersion="8" minRefreshableVersion="3" recordCount="41" xr:uid="{00000000-000A-0000-FFFF-FFFF05000000}">
  <cacheSource type="worksheet">
    <worksheetSource ref="A4:G97" sheet="Strategy Allocation Old"/>
  </cacheSource>
  <cacheFields count="7">
    <cacheField name="Sr.No." numFmtId="0">
      <sharedItems containsString="0" containsBlank="1" containsNumber="1" containsInteger="1" minValue="1" maxValue="40"/>
    </cacheField>
    <cacheField name="Account" numFmtId="0">
      <sharedItems containsBlank="1" count="12">
        <s v="Mishayan Zerodha Client Account"/>
        <s v="SRE"/>
        <s v="Aurus Alpha"/>
        <s v="Marwadi"/>
        <s v="Marwadi FPI"/>
        <s v="Affluence Prop"/>
        <s v="Ashika"/>
        <m/>
        <s v="Affluence High Risk"/>
        <s v="International" u="1"/>
        <s v="Marwari FPI" u="1"/>
        <s v="Marwari" u="1"/>
      </sharedItems>
    </cacheField>
    <cacheField name="Strategy Name" numFmtId="0">
      <sharedItems containsBlank="1" count="12">
        <s v="Long Options"/>
        <s v="PSAR"/>
        <s v="Gold"/>
        <s v="Put Protection"/>
        <s v="Stock Futures"/>
        <s v="Gold Futures"/>
        <s v="QAW Futures"/>
        <m/>
        <s v="Gold PRCS"/>
        <s v="SPX" u="1"/>
        <s v="BTC" u="1"/>
        <s v="NASDAQ" u="1"/>
      </sharedItems>
    </cacheField>
    <cacheField name="Position Sizing" numFmtId="0">
      <sharedItems containsString="0" containsBlank="1" containsNumber="1" minValue="1.4999999999999999E-2" maxValue="6"/>
    </cacheField>
    <cacheField name="Exposure" numFmtId="0">
      <sharedItems containsString="0" containsBlank="1" containsNumber="1" minValue="0" maxValue="782331813.13462067"/>
    </cacheField>
    <cacheField name="Net Exposure" numFmtId="0">
      <sharedItems containsString="0" containsBlank="1" containsNumber="1" minValue="0" maxValue="1658543443.8453958"/>
    </cacheField>
    <cacheField name="Long options premium" numFmtId="0">
      <sharedItems containsBlank="1" containsMixedTypes="1" containsNumber="1" minValue="1575" maxValue="11734977.197019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29166664" createdVersion="4" refreshedVersion="8" minRefreshableVersion="3" recordCount="66" xr:uid="{00000000-000A-0000-FFFF-FFFF06000000}">
  <cacheSource type="worksheet">
    <worksheetSource ref="A3:E105" sheet="Networth Inputs - old"/>
  </cacheSource>
  <cacheFields count="5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/>
    </cacheField>
    <cacheField name="Equity / Debt" numFmtId="0">
      <sharedItems containsBlank="1" count="6">
        <s v="Equity"/>
        <m/>
        <s v="Debt"/>
        <s v="Cash"/>
        <s v="Gold"/>
        <s v="Gold Backed Debt" u="1"/>
      </sharedItems>
    </cacheField>
    <cacheField name="Value" numFmtId="0">
      <sharedItems containsString="0" containsBlank="1" containsNumber="1" minValue="0" maxValue="185288687.27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42939812" createdVersion="4" refreshedVersion="8" minRefreshableVersion="3" recordCount="679" xr:uid="{00000000-000A-0000-FFFF-FFFF07000000}">
  <cacheSource type="consolidation">
    <consolidation autoPage="0">
      <rangeSets count="2">
        <rangeSet ref="H3:K100" sheet="Equity Holdings"/>
        <rangeSet ref="H3:L100" sheet="Mutual Funds"/>
      </rangeSets>
    </consolidation>
  </cacheSource>
  <cacheFields count="3">
    <cacheField name="Row" numFmtId="0">
      <sharedItems containsBlank="1" count="55">
        <s v="Sushila Nahar Equity MF"/>
        <s v="Yogita Agrawal PMS"/>
        <s v="PMS QFH Strategy"/>
        <s v="Sushila Nahar Zerodha"/>
        <m/>
        <s v="QMF"/>
        <s v="Discretionary Stock"/>
        <s v="Sumesh"/>
        <s v="QAW"/>
        <s v="Liquidcase"/>
        <s v="Momentum"/>
        <s v="Loan to Vihaan"/>
        <s v="Aurus Alpha Deposit"/>
        <s v="Aurus Alpha Profit"/>
        <s v="Swan Capital"/>
        <s v="YG"/>
        <s v="Interest Hand"/>
        <s v="FD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mesh FD"/>
        <s v="Liquid"/>
        <s v="Low Vol"/>
        <s v="Large Cap"/>
        <s v="Karan" u="1"/>
        <s v="Fancy Nahar Current Account" u="1"/>
        <s v="Deepak Nahar Current Account - Qode" u="1"/>
        <s v="GRD - US Trading" u="1"/>
        <s v="Mid Cap" u="1"/>
        <s v="Karan SPF" u="1"/>
        <s v="Marwari" u="1"/>
        <s v="Kavan FD" u="1"/>
        <s v="Jainam Allocation" u="1"/>
        <s v="Marwari FPI" u="1"/>
        <s v="Stock Futures" u="1"/>
        <s v="Zerodha Broking Mishayan: Liquidbees/ Liquidcase" u="1"/>
        <s v="Zerodha Broking Mishayan: Cash" u="1"/>
        <s v="Marwadi FPI" u="1"/>
        <s v="Small Cap" u="1"/>
        <s v="Flexi Cap" u="1"/>
        <s v="Aurus Alpha FD Deposit" u="1"/>
        <s v="Yogita Agrawal QGF" u="1"/>
        <s v="HDFC Bank Mishayan" u="1"/>
        <s v="HDFC Bank RN" u="1"/>
        <s v="Zerodha Broking RN: Cash" u="1"/>
      </sharedItems>
    </cacheField>
    <cacheField name="Column" numFmtId="0">
      <sharedItems count="5">
        <s v="LTP"/>
        <s v="Buy Value"/>
        <s v="Value as of Today"/>
        <s v="Mastersheet Tag"/>
        <s v="NAV"/>
      </sharedItems>
    </cacheField>
    <cacheField name="Value" numFmtId="0">
      <sharedItems containsBlank="1" containsMixedTypes="1" containsNumber="1" minValue="0" maxValue="51528622.843067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66319443" createdVersion="4" refreshedVersion="8" minRefreshableVersion="3" recordCount="66" xr:uid="{00000000-000A-0000-FFFF-FFFF08000000}">
  <cacheSource type="worksheet">
    <worksheetSource ref="A3:F117" sheet="Networth Inputs - old"/>
  </cacheSource>
  <cacheFields count="6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 count="45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 count="5">
        <s v="Equity"/>
        <m/>
        <s v="Debt"/>
        <s v="Cash"/>
        <s v="Gold"/>
      </sharedItems>
    </cacheField>
    <cacheField name="Value" numFmtId="0">
      <sharedItems containsString="0" containsBlank="1" containsNumber="1" minValue="0" maxValue="185288687.27000001"/>
    </cacheField>
    <cacheField name="Mishayan / Rishab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87384257" createdVersion="4" refreshedVersion="8" minRefreshableVersion="3" recordCount="66" xr:uid="{00000000-000A-0000-FFFF-FFFF09000000}">
  <cacheSource type="worksheet">
    <worksheetSource ref="A3:E74" sheet="Networth Inputs - old"/>
  </cacheSource>
  <cacheFields count="5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 count="47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Yogita Agrawal QGF" u="1"/>
        <s v="Jainam Allocation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 count="5">
        <s v="Equity"/>
        <m/>
        <s v="Debt"/>
        <s v="Cash"/>
        <s v="Gold"/>
      </sharedItems>
    </cacheField>
    <cacheField name="Value" numFmtId="0">
      <sharedItems containsString="0" containsBlank="1" containsNumber="1" minValue="0" maxValue="185288687.27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n v="1"/>
    <x v="0"/>
    <x v="0"/>
    <x v="0"/>
    <n v="1700000"/>
  </r>
  <r>
    <n v="2"/>
    <x v="1"/>
    <x v="0"/>
    <x v="1"/>
    <n v="31"/>
  </r>
  <r>
    <n v="2"/>
    <x v="1"/>
    <x v="1"/>
    <x v="2"/>
    <n v="-9594.1988000000001"/>
  </r>
  <r>
    <n v="2"/>
    <x v="1"/>
    <x v="0"/>
    <x v="3"/>
    <n v="-48533.882400000002"/>
  </r>
  <r>
    <n v="2"/>
    <x v="1"/>
    <x v="0"/>
    <x v="4"/>
    <n v="17841190.75"/>
  </r>
  <r>
    <n v="2"/>
    <x v="1"/>
    <x v="1"/>
    <x v="5"/>
    <n v="-1252925.9369999999"/>
  </r>
  <r>
    <n v="2"/>
    <x v="1"/>
    <x v="0"/>
    <x v="6"/>
    <n v="-15847722.126"/>
  </r>
  <r>
    <n v="2"/>
    <x v="1"/>
    <x v="0"/>
    <x v="7"/>
    <n v="0"/>
  </r>
  <r>
    <n v="2"/>
    <x v="1"/>
    <x v="0"/>
    <x v="8"/>
    <n v="0"/>
  </r>
  <r>
    <n v="3"/>
    <x v="2"/>
    <x v="1"/>
    <x v="2"/>
    <n v="-13550.635"/>
  </r>
  <r>
    <n v="3"/>
    <x v="2"/>
    <x v="0"/>
    <x v="4"/>
    <n v="93867317.450000003"/>
  </r>
  <r>
    <n v="3"/>
    <x v="2"/>
    <x v="1"/>
    <x v="5"/>
    <n v="-4109562.7888000002"/>
  </r>
  <r>
    <n v="3"/>
    <x v="2"/>
    <x v="0"/>
    <x v="9"/>
    <n v="60547800"/>
  </r>
  <r>
    <n v="3"/>
    <x v="2"/>
    <x v="1"/>
    <x v="10"/>
    <n v="-195217.62890000001"/>
  </r>
  <r>
    <n v="3"/>
    <x v="2"/>
    <x v="0"/>
    <x v="6"/>
    <n v="0"/>
  </r>
  <r>
    <n v="3"/>
    <x v="2"/>
    <x v="0"/>
    <x v="7"/>
    <n v="15847722.126"/>
  </r>
  <r>
    <n v="2"/>
    <x v="1"/>
    <x v="0"/>
    <x v="0"/>
    <n v="12257627"/>
  </r>
  <r>
    <n v="2"/>
    <x v="1"/>
    <x v="0"/>
    <x v="11"/>
    <n v="5221.78"/>
  </r>
  <r>
    <n v="1"/>
    <x v="0"/>
    <x v="1"/>
    <x v="12"/>
    <n v="-63743"/>
  </r>
  <r>
    <n v="2"/>
    <x v="1"/>
    <x v="1"/>
    <x v="12"/>
    <n v="-144780"/>
  </r>
  <r>
    <n v="3"/>
    <x v="2"/>
    <x v="1"/>
    <x v="12"/>
    <n v="-5782"/>
  </r>
  <r>
    <n v="1"/>
    <x v="0"/>
    <x v="2"/>
    <x v="13"/>
    <n v="-443467"/>
  </r>
  <r>
    <n v="2"/>
    <x v="1"/>
    <x v="2"/>
    <x v="13"/>
    <n v="-3126313"/>
  </r>
  <r>
    <n v="3"/>
    <x v="2"/>
    <x v="2"/>
    <x v="13"/>
    <n v="0"/>
  </r>
  <r>
    <n v="2"/>
    <x v="1"/>
    <x v="1"/>
    <x v="14"/>
    <n v="-706750"/>
  </r>
  <r>
    <n v="2"/>
    <x v="1"/>
    <x v="1"/>
    <x v="15"/>
    <n v="-61637"/>
  </r>
  <r>
    <n v="3"/>
    <x v="2"/>
    <x v="1"/>
    <x v="14"/>
    <n v="-633500"/>
  </r>
  <r>
    <n v="3"/>
    <x v="2"/>
    <x v="1"/>
    <x v="15"/>
    <n v="-324443.52000000002"/>
  </r>
  <r>
    <n v="3"/>
    <x v="2"/>
    <x v="0"/>
    <x v="0"/>
    <n v="10000000"/>
  </r>
  <r>
    <n v="3"/>
    <x v="2"/>
    <x v="0"/>
    <x v="16"/>
    <n v="2032400.2"/>
  </r>
  <r>
    <n v="3"/>
    <x v="2"/>
    <x v="0"/>
    <x v="17"/>
    <n v="0"/>
  </r>
  <r>
    <n v="3"/>
    <x v="2"/>
    <x v="0"/>
    <x v="18"/>
    <n v="23130200"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m/>
    <m/>
    <m/>
    <m/>
    <x v="0"/>
    <m/>
    <s v="Sushila Nahar Equity MF"/>
    <m/>
    <m/>
    <n v="15368350"/>
    <m/>
    <m/>
    <x v="0"/>
  </r>
  <r>
    <x v="0"/>
    <x v="1"/>
    <m/>
    <m/>
    <m/>
    <m/>
    <x v="0"/>
    <m/>
    <s v="Yogita Agrawal PMS"/>
    <m/>
    <m/>
    <n v="40685877"/>
    <m/>
    <m/>
    <x v="0"/>
  </r>
  <r>
    <x v="0"/>
    <x v="2"/>
    <m/>
    <m/>
    <m/>
    <m/>
    <x v="0"/>
    <m/>
    <s v="PMS QFH Strategy"/>
    <m/>
    <m/>
    <n v="6092676"/>
    <m/>
    <m/>
    <x v="0"/>
  </r>
  <r>
    <x v="0"/>
    <x v="3"/>
    <m/>
    <m/>
    <m/>
    <m/>
    <x v="0"/>
    <m/>
    <s v="Sushila Nahar Zerodha"/>
    <m/>
    <m/>
    <n v="13500000"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1"/>
    <x v="5"/>
    <s v="NSE"/>
    <n v="7200"/>
    <n v="198.95"/>
    <s v="Zerodha"/>
    <x v="0"/>
    <s v="Non Cash"/>
    <s v="QMF"/>
    <n v="142.69999694824199"/>
    <n v="1432440"/>
    <n v="1027439.97802734"/>
    <n v="-405000.02197265602"/>
    <n v="-28.273437070499"/>
    <x v="1"/>
  </r>
  <r>
    <x v="2"/>
    <x v="5"/>
    <s v="NSE"/>
    <n v="14100"/>
    <n v="807.0127"/>
    <s v="Zerodha"/>
    <x v="0"/>
    <s v="Non Cash"/>
    <s v="Discretionary Stock"/>
    <n v="769"/>
    <n v="11378879.07"/>
    <n v="10842900"/>
    <n v="-535979.06999999995"/>
    <n v="-4.7102976198515796"/>
    <x v="1"/>
  </r>
  <r>
    <x v="3"/>
    <x v="5"/>
    <s v="NSE"/>
    <n v="3105"/>
    <n v="363.4"/>
    <s v="Zerodha"/>
    <x v="0"/>
    <s v="Non Cash"/>
    <s v="QMF"/>
    <n v="437.75"/>
    <n v="1128357"/>
    <n v="1359213.75"/>
    <n v="230856.75"/>
    <n v="20.459548706659302"/>
    <x v="1"/>
  </r>
  <r>
    <x v="4"/>
    <x v="5"/>
    <s v="NSE"/>
    <n v="4108"/>
    <n v="475.15"/>
    <s v="Zerodha"/>
    <x v="0"/>
    <s v="Non Cash"/>
    <s v="QMF"/>
    <n v="499.65"/>
    <n v="1951916.2"/>
    <n v="2052562.2"/>
    <n v="100646"/>
    <n v="5.1562664421761504"/>
    <x v="1"/>
  </r>
  <r>
    <x v="5"/>
    <x v="5"/>
    <s v="NSE"/>
    <n v="932"/>
    <n v="1730.5"/>
    <s v="Zerodha"/>
    <x v="0"/>
    <s v="Non Cash"/>
    <s v="QMF"/>
    <n v="1621.8"/>
    <n v="1612826"/>
    <n v="1511517.5999999901"/>
    <n v="-101308.4"/>
    <n v="-6.2814215544640302"/>
    <x v="1"/>
  </r>
  <r>
    <x v="6"/>
    <x v="5"/>
    <s v="NSE"/>
    <n v="250000"/>
    <n v="19.05"/>
    <s v="Zerodha"/>
    <x v="0"/>
    <s v="Non Cash"/>
    <s v="Sumesh"/>
    <n v="14.04"/>
    <n v="4762500"/>
    <n v="3510000"/>
    <n v="-1252500"/>
    <n v="-26.2992125984252"/>
    <x v="1"/>
  </r>
  <r>
    <x v="7"/>
    <x v="5"/>
    <s v="NSE"/>
    <n v="9337"/>
    <n v="284.25"/>
    <s v="Zerodha"/>
    <x v="0"/>
    <s v="Non Cash"/>
    <s v="QMF"/>
    <n v="244.15"/>
    <n v="2654042.25"/>
    <n v="2279628.5499999998"/>
    <n v="-374413.69999999902"/>
    <n v="-14.1072999120492"/>
    <x v="1"/>
  </r>
  <r>
    <x v="8"/>
    <x v="5"/>
    <s v="NSE"/>
    <n v="1383"/>
    <n v="1156.45"/>
    <s v="Zerodha"/>
    <x v="0"/>
    <s v="Non Cash"/>
    <s v="QMF"/>
    <n v="913.75"/>
    <n v="1599370.35"/>
    <n v="1263716.25"/>
    <n v="-335654.1"/>
    <n v="-20.986640148730999"/>
    <x v="1"/>
  </r>
  <r>
    <x v="9"/>
    <x v="5"/>
    <s v="NSE"/>
    <n v="4791"/>
    <n v="292.7"/>
    <s v="Zerodha"/>
    <x v="0"/>
    <s v="Non Cash"/>
    <s v="QMF"/>
    <n v="268.05"/>
    <n v="1402325.7"/>
    <n v="1284227.55"/>
    <n v="-118098.149999999"/>
    <n v="-8.4215920737956793"/>
    <x v="1"/>
  </r>
  <r>
    <x v="10"/>
    <x v="6"/>
    <s v="BSE"/>
    <n v="10250"/>
    <n v="491.40244000000001"/>
    <s v="Zerodha"/>
    <x v="0"/>
    <s v="Non Cash"/>
    <s v="Sumesh"/>
    <n v="419.35"/>
    <n v="5036875.01"/>
    <n v="4298337.5"/>
    <n v="-738537.50999999896"/>
    <n v="-14.6626133968728"/>
    <x v="2"/>
  </r>
  <r>
    <x v="11"/>
    <x v="5"/>
    <s v="NSE"/>
    <n v="50000"/>
    <n v="40.950000000000003"/>
    <s v="Zerodha"/>
    <x v="0"/>
    <s v="Non Cash"/>
    <s v="Sumesh"/>
    <n v="36.31"/>
    <n v="2047500"/>
    <n v="1815500"/>
    <n v="-232000"/>
    <n v="-11.3308913308913"/>
    <x v="1"/>
  </r>
  <r>
    <x v="12"/>
    <x v="5"/>
    <s v="NSE"/>
    <n v="50800"/>
    <n v="131.44999999999999"/>
    <s v="Zerodha"/>
    <x v="2"/>
    <s v="Non Cash"/>
    <s v="QAW"/>
    <n v="121.32"/>
    <n v="6677659.9999999898"/>
    <n v="6163056"/>
    <n v="-514603.99999999901"/>
    <n v="-7.7063522251806704"/>
    <x v="1"/>
  </r>
  <r>
    <x v="13"/>
    <x v="5"/>
    <s v="NSE"/>
    <n v="1577"/>
    <n v="1251.7"/>
    <s v="Zerodha"/>
    <x v="0"/>
    <s v="Non Cash"/>
    <s v="QMF"/>
    <n v="959.6"/>
    <n v="1973930.9"/>
    <n v="1513289.2"/>
    <n v="-460641.7"/>
    <n v="-23.3362626827514"/>
    <x v="1"/>
  </r>
  <r>
    <x v="14"/>
    <x v="5"/>
    <s v="NSE"/>
    <n v="316"/>
    <n v="5913.9"/>
    <s v="Zerodha"/>
    <x v="0"/>
    <s v="Non Cash"/>
    <s v="QMF"/>
    <n v="5218.5"/>
    <n v="1868792.4"/>
    <n v="1649046"/>
    <n v="-219746.399999999"/>
    <n v="-11.7587378887028"/>
    <x v="1"/>
  </r>
  <r>
    <x v="15"/>
    <x v="5"/>
    <s v="NSE"/>
    <n v="18132"/>
    <n v="334.25"/>
    <s v="Zerodha"/>
    <x v="0"/>
    <s v="Non Cash"/>
    <s v="Discretionary Stock"/>
    <n v="270.95"/>
    <n v="6060621"/>
    <n v="4912865.3999999901"/>
    <n v="-1147755.6000000001"/>
    <n v="-18.937920718025399"/>
    <x v="1"/>
  </r>
  <r>
    <x v="16"/>
    <x v="5"/>
    <s v="NSE"/>
    <n v="2216"/>
    <n v="765.3"/>
    <s v="Zerodha"/>
    <x v="0"/>
    <s v="Non Cash"/>
    <s v="QMF"/>
    <n v="719.95"/>
    <n v="1695904.79999999"/>
    <n v="1595409.2"/>
    <n v="-100495.599999999"/>
    <n v="-5.9257807395792303"/>
    <x v="1"/>
  </r>
  <r>
    <x v="17"/>
    <x v="5"/>
    <s v="NSE"/>
    <n v="9001"/>
    <n v="292.55"/>
    <s v="Zerodha"/>
    <x v="0"/>
    <s v="Non Cash"/>
    <s v="QMF"/>
    <n v="271.8"/>
    <n v="2633242.5499999998"/>
    <n v="2446471.7999999998"/>
    <n v="-186770.75"/>
    <n v="-7.0928046487779799"/>
    <x v="1"/>
  </r>
  <r>
    <x v="18"/>
    <x v="5"/>
    <s v="BSE"/>
    <n v="2064"/>
    <n v="1094.0999999999999"/>
    <s v="Zerodha"/>
    <x v="0"/>
    <s v="Non Cash"/>
    <s v="QMF"/>
    <n v="1547.6"/>
    <n v="2258222.4"/>
    <n v="3194246.4"/>
    <n v="936024"/>
    <n v="41.449593273009697"/>
    <x v="1"/>
  </r>
  <r>
    <x v="19"/>
    <x v="5"/>
    <s v="NSE"/>
    <n v="4625"/>
    <n v="324.05"/>
    <s v="Zerodha"/>
    <x v="0"/>
    <s v="Non Cash"/>
    <s v="QMF"/>
    <n v="278.95"/>
    <n v="1498731.25"/>
    <n v="1290143.75"/>
    <n v="-208587.5"/>
    <n v="-13.9176053078228"/>
    <x v="1"/>
  </r>
  <r>
    <x v="20"/>
    <x v="5"/>
    <s v="NSE"/>
    <n v="3588"/>
    <n v="469.4"/>
    <s v="Zerodha"/>
    <x v="0"/>
    <s v="Non Cash"/>
    <s v="QMF"/>
    <n v="475.45"/>
    <n v="1684207.2"/>
    <n v="1705914.5999999901"/>
    <n v="21707.3999999999"/>
    <n v="1.2888794205368499"/>
    <x v="1"/>
  </r>
  <r>
    <x v="21"/>
    <x v="5"/>
    <s v="NSE"/>
    <n v="5960"/>
    <n v="1064"/>
    <s v="Zerodha"/>
    <x v="0"/>
    <s v="Non Cash"/>
    <s v="Sumesh"/>
    <n v="893.4"/>
    <n v="6341440"/>
    <n v="5324664"/>
    <n v="-1016776"/>
    <n v="-16.033834586466099"/>
    <x v="1"/>
  </r>
  <r>
    <x v="22"/>
    <x v="6"/>
    <s v="NSE"/>
    <n v="177470"/>
    <n v="112.71"/>
    <s v="Zerodha"/>
    <x v="3"/>
    <s v="Cash"/>
    <s v="Liquidcase"/>
    <n v="113.19"/>
    <n v="20002643.699999999"/>
    <n v="20087829.300000001"/>
    <n v="85185.600000001403"/>
    <n v="0.42587170614852599"/>
    <x v="2"/>
  </r>
  <r>
    <x v="23"/>
    <x v="5"/>
    <s v="NSE"/>
    <n v="196400"/>
    <n v="30.55"/>
    <s v="Zerodha"/>
    <x v="0"/>
    <s v="Non Cash"/>
    <s v="Momentum"/>
    <n v="28.9"/>
    <n v="6000020"/>
    <n v="5675960"/>
    <n v="-324060"/>
    <n v="-5.4009819967266797"/>
    <x v="1"/>
  </r>
  <r>
    <x v="24"/>
    <x v="5"/>
    <s v="NSE"/>
    <n v="121031"/>
    <n v="49.61"/>
    <s v="Zerodha"/>
    <x v="0"/>
    <s v="Non Cash"/>
    <s v="Momentum"/>
    <n v="47.56"/>
    <n v="6004347.9100000001"/>
    <n v="5756234.3600000003"/>
    <n v="-248113.549999999"/>
    <n v="-4.1322314049586701"/>
    <x v="1"/>
  </r>
  <r>
    <x v="25"/>
    <x v="5"/>
    <s v="BSE"/>
    <n v="17600"/>
    <n v="279.99"/>
    <s v="Zerodha"/>
    <x v="0"/>
    <s v="Non Cash"/>
    <s v="Sumesh"/>
    <n v="243.25"/>
    <n v="4927824"/>
    <n v="4281200"/>
    <n v="-646624"/>
    <n v="-13.1218972106146"/>
    <x v="1"/>
  </r>
  <r>
    <x v="26"/>
    <x v="5"/>
    <s v="NSE"/>
    <n v="889"/>
    <n v="1808.95"/>
    <s v="Zerodha"/>
    <x v="0"/>
    <s v="Non Cash"/>
    <s v="QMF"/>
    <n v="1510.1"/>
    <n v="1608156.55"/>
    <n v="1342478.9"/>
    <n v="-265677.65000000002"/>
    <n v="-16.520633516680899"/>
    <x v="1"/>
  </r>
  <r>
    <x v="27"/>
    <x v="5"/>
    <s v="NSE"/>
    <n v="3000"/>
    <n v="225"/>
    <s v="Zerodha"/>
    <x v="0"/>
    <s v="Non Cash"/>
    <s v="Sumesh"/>
    <n v="200"/>
    <n v="675000"/>
    <n v="600000"/>
    <n v="-75000"/>
    <n v="-11.1111111111111"/>
    <x v="1"/>
  </r>
  <r>
    <x v="28"/>
    <x v="5"/>
    <s v="NSE"/>
    <n v="7992"/>
    <n v="159.55000000000001"/>
    <s v="Zerodha"/>
    <x v="0"/>
    <s v="Non Cash"/>
    <s v="QMF"/>
    <n v="139.53"/>
    <n v="1275123.6000000001"/>
    <n v="1115123.76"/>
    <n v="-159999.84"/>
    <n v="-12.5477906612347"/>
    <x v="1"/>
  </r>
  <r>
    <x v="29"/>
    <x v="5"/>
    <s v="NSE"/>
    <n v="2273"/>
    <n v="733.65"/>
    <s v="Zerodha"/>
    <x v="0"/>
    <s v="Non Cash"/>
    <s v="QMF"/>
    <n v="835.65"/>
    <n v="1667586.45"/>
    <n v="1899432.45"/>
    <n v="231846"/>
    <n v="13.903087303209899"/>
    <x v="1"/>
  </r>
  <r>
    <x v="30"/>
    <x v="5"/>
    <s v="NSE"/>
    <n v="668"/>
    <n v="2027.5"/>
    <s v="Zerodha"/>
    <x v="0"/>
    <s v="Non Cash"/>
    <s v="QMF"/>
    <n v="1965.4"/>
    <n v="1354370"/>
    <n v="1312887.2"/>
    <n v="-41482.800000000003"/>
    <n v="-3.0628853267570801"/>
    <x v="1"/>
  </r>
  <r>
    <x v="31"/>
    <x v="5"/>
    <s v="BSE"/>
    <n v="435275"/>
    <n v="38.862679999999997"/>
    <s v="Zerodha"/>
    <x v="0"/>
    <s v="Non Cash"/>
    <s v="Discretionary Stock"/>
    <n v="26.45"/>
    <n v="16915953.037"/>
    <n v="11513023.75"/>
    <n v="-5402929.2869999995"/>
    <n v="-31.9398456308211"/>
    <x v="1"/>
  </r>
  <r>
    <x v="32"/>
    <x v="5"/>
    <s v="NSE"/>
    <n v="18326"/>
    <n v="89.95"/>
    <s v="Zerodha"/>
    <x v="0"/>
    <s v="Non Cash"/>
    <s v="QMF"/>
    <n v="85.68"/>
    <n v="1648423.7"/>
    <n v="1570171.68"/>
    <n v="-78252.019999999698"/>
    <n v="-4.7470817120622497"/>
    <x v="1"/>
  </r>
  <r>
    <x v="33"/>
    <x v="5"/>
    <s v="NSE"/>
    <n v="2365"/>
    <n v="619.9"/>
    <s v="Zerodha"/>
    <x v="0"/>
    <s v="Non Cash"/>
    <s v="QMF"/>
    <n v="492.45"/>
    <n v="1466063.5"/>
    <n v="1164644.25"/>
    <n v="-301419.25"/>
    <n v="-20.559767704468399"/>
    <x v="1"/>
  </r>
  <r>
    <x v="34"/>
    <x v="5"/>
    <s v="NSE"/>
    <n v="5356"/>
    <n v="326.39999999999998"/>
    <s v="Zerodha"/>
    <x v="0"/>
    <s v="Non Cash"/>
    <s v="QMF"/>
    <n v="305.39999999999998"/>
    <n v="1748198.3999999999"/>
    <n v="1635722.4"/>
    <n v="-112476"/>
    <n v="-6.4338235294117601"/>
    <x v="1"/>
  </r>
  <r>
    <x v="35"/>
    <x v="5"/>
    <s v="NSE"/>
    <n v="3698"/>
    <n v="341.1"/>
    <s v="Zerodha"/>
    <x v="0"/>
    <s v="Non Cash"/>
    <s v="QMF"/>
    <n v="351.25"/>
    <n v="1261387.8"/>
    <n v="1298922.5"/>
    <n v="37534.699999999903"/>
    <n v="2.9756669598358099"/>
    <x v="1"/>
  </r>
  <r>
    <x v="36"/>
    <x v="5"/>
    <s v="NSE"/>
    <n v="3847"/>
    <n v="439.35"/>
    <s v="Zerodha"/>
    <x v="0"/>
    <s v="Non Cash"/>
    <s v="QMF"/>
    <n v="400.8"/>
    <n v="1690179.45"/>
    <n v="1541877.6"/>
    <n v="-148301.85"/>
    <n v="-8.7743257084329098"/>
    <x v="1"/>
  </r>
  <r>
    <x v="37"/>
    <x v="5"/>
    <s v="NSE"/>
    <n v="8972"/>
    <n v="188.65"/>
    <s v="Zerodha"/>
    <x v="0"/>
    <s v="Non Cash"/>
    <s v="QMF"/>
    <n v="231.51"/>
    <n v="1692567.8"/>
    <n v="2077107.72"/>
    <n v="384539.91999999899"/>
    <n v="22.7193214948316"/>
    <x v="1"/>
  </r>
  <r>
    <x v="38"/>
    <x v="5"/>
    <s v="NSE"/>
    <n v="2923"/>
    <n v="684"/>
    <s v="Zerodha"/>
    <x v="0"/>
    <s v="Non Cash"/>
    <s v="QMF"/>
    <n v="579.9"/>
    <n v="1999332"/>
    <n v="1695047.7"/>
    <n v="-304284.3"/>
    <n v="-15.219298245614"/>
    <x v="1"/>
  </r>
  <r>
    <x v="39"/>
    <x v="5"/>
    <s v="BSE"/>
    <n v="115930"/>
    <n v="11.84"/>
    <s v="Zerodha"/>
    <x v="0"/>
    <s v="Non Cash"/>
    <s v="QMF"/>
    <n v="11.73"/>
    <n v="1372611.2"/>
    <n v="1359858.9"/>
    <n v="-12752.299999999799"/>
    <n v="-0.92905405405404895"/>
    <x v="1"/>
  </r>
  <r>
    <x v="40"/>
    <x v="5"/>
    <s v="NSE"/>
    <n v="581"/>
    <n v="2606.4499999999998"/>
    <s v="Zerodha"/>
    <x v="0"/>
    <s v="Non Cash"/>
    <s v="QMF"/>
    <n v="2381"/>
    <n v="1514347.45"/>
    <n v="1383361"/>
    <n v="-130986.44999999899"/>
    <n v="-8.6496959465940204"/>
    <x v="1"/>
  </r>
  <r>
    <x v="41"/>
    <x v="5"/>
    <s v="NSE"/>
    <n v="2281"/>
    <n v="721.85"/>
    <s v="Zerodha"/>
    <x v="0"/>
    <s v="Non Cash"/>
    <s v="QMF"/>
    <n v="795"/>
    <n v="1646539.85"/>
    <n v="1813395"/>
    <n v="166855.149999999"/>
    <n v="10.133684283438299"/>
    <x v="1"/>
  </r>
  <r>
    <x v="42"/>
    <x v="5"/>
    <s v="NSE"/>
    <n v="3300"/>
    <n v="572.29999999999995"/>
    <s v="Zerodha"/>
    <x v="0"/>
    <s v="Non Cash"/>
    <s v="QMF"/>
    <n v="506"/>
    <n v="1888589.99999999"/>
    <n v="1669800"/>
    <n v="-218789.99999999901"/>
    <n v="-11.5848331294775"/>
    <x v="1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m/>
    <m/>
    <m/>
    <m/>
    <m/>
    <x v="0"/>
    <m/>
    <s v="Loan to Vihaan"/>
    <x v="0"/>
    <m/>
    <m/>
    <n v="3000000"/>
    <m/>
    <m/>
    <x v="0"/>
  </r>
  <r>
    <x v="1"/>
    <m/>
    <m/>
    <m/>
    <m/>
    <m/>
    <x v="0"/>
    <m/>
    <s v="Aurus Alpha Deposit"/>
    <x v="0"/>
    <m/>
    <m/>
    <n v="31500000"/>
    <m/>
    <m/>
    <x v="0"/>
  </r>
  <r>
    <x v="2"/>
    <m/>
    <m/>
    <m/>
    <m/>
    <m/>
    <x v="0"/>
    <m/>
    <s v="Aurus Alpha Profit"/>
    <x v="0"/>
    <m/>
    <m/>
    <n v="42915812"/>
    <m/>
    <m/>
    <x v="0"/>
  </r>
  <r>
    <x v="3"/>
    <m/>
    <m/>
    <m/>
    <m/>
    <m/>
    <x v="0"/>
    <m/>
    <s v="Swan Capital"/>
    <x v="0"/>
    <m/>
    <m/>
    <n v="5881036"/>
    <m/>
    <m/>
    <x v="0"/>
  </r>
  <r>
    <x v="4"/>
    <m/>
    <m/>
    <m/>
    <m/>
    <m/>
    <x v="0"/>
    <m/>
    <s v="YG"/>
    <x v="0"/>
    <m/>
    <m/>
    <n v="30312619.799999997"/>
    <m/>
    <m/>
    <x v="0"/>
  </r>
  <r>
    <x v="5"/>
    <m/>
    <m/>
    <m/>
    <m/>
    <m/>
    <x v="0"/>
    <m/>
    <s v="Interest Hand"/>
    <x v="0"/>
    <m/>
    <m/>
    <n v="0"/>
    <m/>
    <m/>
    <x v="0"/>
  </r>
  <r>
    <x v="6"/>
    <m/>
    <m/>
    <m/>
    <m/>
    <m/>
    <x v="0"/>
    <m/>
    <s v="FD"/>
    <x v="0"/>
    <m/>
    <m/>
    <n v="23500000"/>
    <m/>
    <m/>
    <x v="0"/>
  </r>
  <r>
    <x v="7"/>
    <m/>
    <m/>
    <m/>
    <m/>
    <m/>
    <x v="0"/>
    <m/>
    <s v="Marwadi Deposit"/>
    <x v="0"/>
    <m/>
    <m/>
    <n v="10200000"/>
    <m/>
    <m/>
    <x v="0"/>
  </r>
  <r>
    <x v="8"/>
    <m/>
    <m/>
    <m/>
    <m/>
    <m/>
    <x v="0"/>
    <m/>
    <s v="Marwadi Profits"/>
    <x v="0"/>
    <m/>
    <m/>
    <n v="39226199"/>
    <m/>
    <m/>
    <x v="0"/>
  </r>
  <r>
    <x v="9"/>
    <m/>
    <m/>
    <m/>
    <m/>
    <m/>
    <x v="0"/>
    <m/>
    <s v="Marwadi FPI Deposit (FD)"/>
    <x v="0"/>
    <m/>
    <m/>
    <n v="2625000"/>
    <m/>
    <m/>
    <x v="0"/>
  </r>
  <r>
    <x v="10"/>
    <m/>
    <m/>
    <m/>
    <m/>
    <m/>
    <x v="0"/>
    <m/>
    <s v="Affluence"/>
    <x v="0"/>
    <m/>
    <m/>
    <n v="5591229.75"/>
    <m/>
    <m/>
    <x v="0"/>
  </r>
  <r>
    <x v="11"/>
    <m/>
    <m/>
    <m/>
    <m/>
    <m/>
    <x v="0"/>
    <m/>
    <s v="Affluence High Risk"/>
    <x v="0"/>
    <m/>
    <m/>
    <n v="5128618.47"/>
    <m/>
    <m/>
    <x v="0"/>
  </r>
  <r>
    <x v="12"/>
    <m/>
    <m/>
    <m/>
    <m/>
    <m/>
    <x v="0"/>
    <m/>
    <s v="ICICI Bank OD"/>
    <x v="0"/>
    <m/>
    <m/>
    <n v="48398458"/>
    <m/>
    <m/>
    <x v="0"/>
  </r>
  <r>
    <x v="13"/>
    <m/>
    <m/>
    <m/>
    <m/>
    <m/>
    <x v="0"/>
    <m/>
    <s v="Jainam Allocation Deposit"/>
    <x v="0"/>
    <m/>
    <m/>
    <n v="0"/>
    <m/>
    <m/>
    <x v="0"/>
  </r>
  <r>
    <x v="14"/>
    <m/>
    <m/>
    <m/>
    <m/>
    <m/>
    <x v="0"/>
    <m/>
    <s v="HDFC Bank FD"/>
    <x v="0"/>
    <m/>
    <m/>
    <n v="1000000"/>
    <m/>
    <m/>
    <x v="0"/>
  </r>
  <r>
    <x v="15"/>
    <m/>
    <m/>
    <m/>
    <m/>
    <m/>
    <x v="0"/>
    <m/>
    <s v="Marwadi FPI Profits"/>
    <x v="0"/>
    <m/>
    <m/>
    <n v="15169806"/>
    <m/>
    <m/>
    <x v="0"/>
  </r>
  <r>
    <x v="16"/>
    <m/>
    <m/>
    <m/>
    <m/>
    <m/>
    <x v="0"/>
    <m/>
    <s v="Nimai FD"/>
    <x v="0"/>
    <m/>
    <m/>
    <n v="0"/>
    <m/>
    <m/>
    <x v="0"/>
  </r>
  <r>
    <x v="17"/>
    <m/>
    <m/>
    <m/>
    <m/>
    <m/>
    <x v="0"/>
    <m/>
    <s v="Arvind FD"/>
    <x v="0"/>
    <m/>
    <m/>
    <n v="700000"/>
    <m/>
    <m/>
    <x v="0"/>
  </r>
  <r>
    <x v="18"/>
    <m/>
    <m/>
    <m/>
    <m/>
    <m/>
    <x v="0"/>
    <m/>
    <s v="Sushila Nahar HDFC"/>
    <x v="0"/>
    <m/>
    <m/>
    <n v="0"/>
    <m/>
    <m/>
    <x v="0"/>
  </r>
  <r>
    <x v="19"/>
    <m/>
    <m/>
    <m/>
    <m/>
    <m/>
    <x v="0"/>
    <m/>
    <s v="Sumesh FD"/>
    <x v="0"/>
    <m/>
    <m/>
    <n v="2500000"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1"/>
    <s v="INF209K01VA3"/>
    <n v="119568"/>
    <n v="12761.118"/>
    <n v="409.5095"/>
    <s v="Zerodha"/>
    <x v="0"/>
    <s v="Cash"/>
    <s v="Liquid"/>
    <x v="1"/>
    <n v="444.05410000000001"/>
    <n v="5225799.0516210003"/>
    <n v="5666626.7684837999"/>
    <n v="440827.71686279902"/>
    <n v="8.4356040580255094"/>
    <x v="1"/>
  </r>
  <r>
    <x v="22"/>
    <s v="INF209K01UU3"/>
    <n v="119511"/>
    <n v="131571.09700000001"/>
    <n v="380.00499000000002"/>
    <s v="Zerodha"/>
    <x v="0"/>
    <s v="Cash"/>
    <s v="Liquid"/>
    <x v="1"/>
    <n v="391.64089999999999"/>
    <n v="49997673.399774"/>
    <n v="51528622.843067303"/>
    <n v="1530949.4432932599"/>
    <n v="3.06204136950937"/>
    <x v="2"/>
  </r>
  <r>
    <x v="23"/>
    <s v="INF846KA1044"/>
    <n v="153244"/>
    <n v="372036.35100000002"/>
    <n v="10.8774"/>
    <s v="Zerodha"/>
    <x v="2"/>
    <s v="Non Cash"/>
    <s v="Momentum"/>
    <x v="1"/>
    <n v="9.8341999999999992"/>
    <n v="4046788.2043674001"/>
    <n v="3658679.8830041899"/>
    <n v="-388108.32136320003"/>
    <n v="-9.5905271480317005"/>
    <x v="1"/>
  </r>
  <r>
    <x v="24"/>
    <s v="INF109KC1P81"/>
    <n v="148822"/>
    <n v="1699682.557"/>
    <n v="18.137170000000001"/>
    <s v="Zerodha"/>
    <x v="2"/>
    <s v="Non Cash"/>
    <s v="Low Vol"/>
    <x v="1"/>
    <n v="17.361899999999999"/>
    <n v="30827431.482343599"/>
    <n v="29509718.586378299"/>
    <n v="-1317712.8959653899"/>
    <n v="-4.2744816308167204"/>
    <x v="1"/>
  </r>
  <r>
    <x v="25"/>
    <s v="INF174KA1OB1"/>
    <n v="151781"/>
    <n v="2961797.966"/>
    <n v="14.93707"/>
    <s v="Zerodha"/>
    <x v="2"/>
    <s v="Non Cash"/>
    <s v="Momentum"/>
    <x v="1"/>
    <n v="13.504"/>
    <n v="44240583.543999597"/>
    <n v="39996119.732864"/>
    <n v="-4244463.8111356199"/>
    <n v="-9.5940502387683804"/>
    <x v="1"/>
  </r>
  <r>
    <x v="26"/>
    <s v="INF767K01DN1"/>
    <n v="120249"/>
    <n v="8191.8130000000001"/>
    <n v="4882.6792599999999"/>
    <s v="Zerodha"/>
    <x v="0"/>
    <s v="Cash"/>
    <s v="Liquid"/>
    <x v="1"/>
    <n v="4990.0879999999997"/>
    <n v="39997995.436898299"/>
    <n v="40877867.749543898"/>
    <n v="879872.31264561403"/>
    <n v="2.1997910221119001"/>
    <x v="2"/>
  </r>
  <r>
    <x v="26"/>
    <s v="INF767K01DN1"/>
    <n v="120249"/>
    <n v="790.80700000000002"/>
    <n v="4885.2700000000004"/>
    <s v="Zerodha"/>
    <x v="0"/>
    <s v="Cash"/>
    <s v="Liquid"/>
    <x v="2"/>
    <n v="4990.0879999999997"/>
    <n v="3863305.7128900001"/>
    <n v="3946196.5210159998"/>
    <n v="82890.808125999203"/>
    <n v="2.1455927717403398"/>
    <x v="3"/>
  </r>
  <r>
    <x v="27"/>
    <s v="INF247L01DL6"/>
    <n v="152875"/>
    <n v="1136231.2660000001"/>
    <n v="8.2241"/>
    <s v="Zerodha"/>
    <x v="2"/>
    <s v="Non Cash"/>
    <s v="Momentum"/>
    <x v="1"/>
    <n v="7.3845000000000001"/>
    <n v="9344479.5547106005"/>
    <n v="8390499.7837770004"/>
    <n v="-953979.77093360003"/>
    <n v="-10.2090198319572"/>
    <x v="1"/>
  </r>
  <r>
    <x v="28"/>
    <s v="INF204K01ZP3"/>
    <n v="118719"/>
    <n v="4585.99"/>
    <n v="4360.8900000000003"/>
    <s v="Zerodha"/>
    <x v="0"/>
    <s v="Cash"/>
    <s v="Liquid"/>
    <x v="1"/>
    <n v="4394.3188"/>
    <n v="19998997.9311"/>
    <n v="20152302.073612001"/>
    <n v="153304.14251200101"/>
    <n v="0.76655911981269098"/>
    <x v="2"/>
  </r>
  <r>
    <x v="29"/>
    <s v="INF879O01100"/>
    <n v="147481"/>
    <n v="7843.1139999999996"/>
    <n v="34.781599999999997"/>
    <s v="Zerodha"/>
    <x v="2"/>
    <s v="Non Cash"/>
    <s v="Large Cap"/>
    <x v="1"/>
    <n v="30.998000000000001"/>
    <n v="272796.05390239903"/>
    <n v="243120.84777200001"/>
    <n v="-29675.2061303999"/>
    <n v="-10.878165466798499"/>
    <x v="1"/>
  </r>
  <r>
    <x v="30"/>
    <s v="INF966L01AT0"/>
    <n v="150440"/>
    <n v="1250128.3459999999"/>
    <n v="15.2113"/>
    <s v="Zerodha"/>
    <x v="2"/>
    <s v="Non Cash"/>
    <s v="Large Cap"/>
    <x v="1"/>
    <n v="14.452500000000001"/>
    <n v="19016077.309509799"/>
    <n v="18067479.920564901"/>
    <n v="-948597.38894480094"/>
    <n v="-4.9883967839698"/>
    <x v="1"/>
  </r>
  <r>
    <x v="31"/>
    <s v="INF277K01YE6"/>
    <n v="119861"/>
    <n v="8759.6010000000006"/>
    <n v="4020.6995099999999"/>
    <s v="Zerodha"/>
    <x v="0"/>
    <s v="Cash"/>
    <s v="Liquid"/>
    <x v="1"/>
    <n v="4339.6039000000001"/>
    <n v="35219723.4484955"/>
    <n v="38013198.662043899"/>
    <n v="2793475.2135483902"/>
    <n v="7.9315648733968702"/>
    <x v="1"/>
  </r>
  <r>
    <x v="32"/>
    <s v="INF277KA1612"/>
    <n v="150738"/>
    <n v="2367424.1490000002"/>
    <n v="16.396629999999998"/>
    <s v="Zerodha"/>
    <x v="2"/>
    <s v="Non Cash"/>
    <s v="Momentum"/>
    <x v="1"/>
    <n v="16.634"/>
    <n v="38817777.824217796"/>
    <n v="39379733.294465996"/>
    <n v="561955.47024813294"/>
    <n v="1.44767552844701"/>
    <x v="1"/>
  </r>
  <r>
    <x v="20"/>
    <m/>
    <m/>
    <m/>
    <m/>
    <m/>
    <x v="1"/>
    <m/>
    <m/>
    <x v="0"/>
    <m/>
    <m/>
    <m/>
    <m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x v="0"/>
    <x v="0"/>
    <s v="Equity"/>
    <n v="15368350"/>
    <x v="0"/>
  </r>
  <r>
    <n v="2"/>
    <x v="0"/>
    <x v="1"/>
    <s v="Equity"/>
    <n v="40685877"/>
    <x v="0"/>
  </r>
  <r>
    <n v="3"/>
    <x v="1"/>
    <x v="2"/>
    <m/>
    <m/>
    <x v="1"/>
  </r>
  <r>
    <n v="4"/>
    <x v="0"/>
    <x v="3"/>
    <s v="Debt"/>
    <n v="3000000"/>
    <x v="0"/>
  </r>
  <r>
    <n v="5"/>
    <x v="1"/>
    <x v="2"/>
    <m/>
    <m/>
    <x v="1"/>
  </r>
  <r>
    <n v="6"/>
    <x v="1"/>
    <x v="2"/>
    <m/>
    <m/>
    <x v="1"/>
  </r>
  <r>
    <n v="7"/>
    <x v="2"/>
    <x v="4"/>
    <s v="Debt"/>
    <n v="31500000"/>
    <x v="2"/>
  </r>
  <r>
    <n v="8"/>
    <x v="2"/>
    <x v="5"/>
    <s v="Debt"/>
    <n v="42915812"/>
    <x v="0"/>
  </r>
  <r>
    <n v="9"/>
    <x v="0"/>
    <x v="6"/>
    <s v="Equity"/>
    <n v="6092676"/>
    <x v="0"/>
  </r>
  <r>
    <n v="10"/>
    <x v="0"/>
    <x v="7"/>
    <s v="Debt"/>
    <n v="5881036"/>
    <x v="0"/>
  </r>
  <r>
    <n v="11"/>
    <x v="3"/>
    <x v="8"/>
    <s v="Cash"/>
    <n v="1550293"/>
    <x v="0"/>
  </r>
  <r>
    <n v="12"/>
    <x v="3"/>
    <x v="9"/>
    <s v="Cash"/>
    <n v="4287189"/>
    <x v="2"/>
  </r>
  <r>
    <n v="13"/>
    <x v="0"/>
    <x v="10"/>
    <s v="Debt"/>
    <n v="30312619.799999997"/>
    <x v="0"/>
  </r>
  <r>
    <n v="14"/>
    <x v="0"/>
    <x v="11"/>
    <s v="Debt"/>
    <n v="0"/>
    <x v="0"/>
  </r>
  <r>
    <n v="15"/>
    <x v="3"/>
    <x v="12"/>
    <s v="Debt"/>
    <n v="23500000"/>
    <x v="0"/>
  </r>
  <r>
    <n v="16"/>
    <x v="4"/>
    <x v="13"/>
    <s v="Equity"/>
    <n v="101285005.39802733"/>
    <x v="0"/>
  </r>
  <r>
    <n v="17"/>
    <x v="4"/>
    <x v="14"/>
    <s v="Equity"/>
    <n v="0"/>
    <x v="0"/>
  </r>
  <r>
    <n v="18"/>
    <x v="4"/>
    <x v="15"/>
    <s v="Cash"/>
    <n v="14852"/>
    <x v="0"/>
  </r>
  <r>
    <n v="19"/>
    <x v="4"/>
    <x v="16"/>
    <s v="Debt"/>
    <n v="3946196.5210159998"/>
    <x v="0"/>
  </r>
  <r>
    <n v="20"/>
    <x v="4"/>
    <x v="13"/>
    <s v="Gold"/>
    <n v="6163056"/>
    <x v="0"/>
  </r>
  <r>
    <n v="21"/>
    <x v="4"/>
    <x v="17"/>
    <s v="Equity"/>
    <n v="4298337.5"/>
    <x v="2"/>
  </r>
  <r>
    <n v="22"/>
    <x v="4"/>
    <x v="18"/>
    <s v="Equity"/>
    <n v="139245352.0488264"/>
    <x v="2"/>
  </r>
  <r>
    <n v="23"/>
    <x v="4"/>
    <x v="19"/>
    <s v="Debt"/>
    <n v="156238618.09675092"/>
    <x v="2"/>
  </r>
  <r>
    <n v="24"/>
    <x v="4"/>
    <x v="20"/>
    <s v="Debt"/>
    <n v="20087829.300000001"/>
    <x v="2"/>
  </r>
  <r>
    <n v="25"/>
    <x v="4"/>
    <x v="21"/>
    <s v="Cash"/>
    <n v="185288687.27000001"/>
    <x v="2"/>
  </r>
  <r>
    <n v="26"/>
    <x v="4"/>
    <x v="17"/>
    <s v="Gold"/>
    <n v="0"/>
    <x v="2"/>
  </r>
  <r>
    <n v="27"/>
    <x v="2"/>
    <x v="22"/>
    <s v="Debt"/>
    <n v="10200000"/>
    <x v="0"/>
  </r>
  <r>
    <n v="28"/>
    <x v="2"/>
    <x v="23"/>
    <s v="Debt"/>
    <n v="39226199"/>
    <x v="0"/>
  </r>
  <r>
    <n v="29"/>
    <x v="1"/>
    <x v="2"/>
    <m/>
    <m/>
    <x v="1"/>
  </r>
  <r>
    <n v="30"/>
    <x v="2"/>
    <x v="24"/>
    <s v="Debt"/>
    <n v="2625000"/>
    <x v="0"/>
  </r>
  <r>
    <n v="31"/>
    <x v="2"/>
    <x v="25"/>
    <s v="Debt"/>
    <n v="5591229.75"/>
    <x v="0"/>
  </r>
  <r>
    <n v="32"/>
    <x v="2"/>
    <x v="26"/>
    <s v="Debt"/>
    <n v="5128618.47"/>
    <x v="0"/>
  </r>
  <r>
    <n v="33"/>
    <x v="3"/>
    <x v="27"/>
    <s v="Debt"/>
    <n v="48398458"/>
    <x v="0"/>
  </r>
  <r>
    <n v="34"/>
    <x v="2"/>
    <x v="28"/>
    <s v="Debt"/>
    <n v="0"/>
    <x v="3"/>
  </r>
  <r>
    <n v="35"/>
    <x v="3"/>
    <x v="29"/>
    <s v="Debt"/>
    <n v="1000000"/>
    <x v="2"/>
  </r>
  <r>
    <n v="36"/>
    <x v="2"/>
    <x v="30"/>
    <s v="Debt"/>
    <n v="15169806"/>
    <x v="0"/>
  </r>
  <r>
    <n v="37"/>
    <x v="3"/>
    <x v="31"/>
    <s v="Debt"/>
    <n v="0"/>
    <x v="0"/>
  </r>
  <r>
    <n v="38"/>
    <x v="3"/>
    <x v="32"/>
    <s v="Debt"/>
    <n v="700000"/>
    <x v="0"/>
  </r>
  <r>
    <n v="39"/>
    <x v="0"/>
    <x v="33"/>
    <s v="Cash"/>
    <n v="0"/>
    <x v="0"/>
  </r>
  <r>
    <n v="40"/>
    <x v="0"/>
    <x v="34"/>
    <s v="Equity"/>
    <n v="13500000"/>
    <x v="0"/>
  </r>
  <r>
    <n v="41"/>
    <x v="3"/>
    <x v="35"/>
    <s v="Debt"/>
    <n v="2500000"/>
    <x v="0"/>
  </r>
  <r>
    <n v="42"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n v="1.4999999999999999E-2"/>
    <n v="782331813.13462067"/>
    <n v="782331813.13462067"/>
    <n v="11734977.197019309"/>
    <m/>
    <m/>
  </r>
  <r>
    <n v="2"/>
    <x v="0"/>
    <x v="1"/>
    <n v="2.12"/>
    <n v="782331813.13462067"/>
    <n v="1658543443.8453958"/>
    <s v=""/>
    <m/>
    <m/>
  </r>
  <r>
    <n v="3"/>
    <x v="0"/>
    <x v="2"/>
    <n v="1"/>
    <n v="304237500"/>
    <n v="304237500"/>
    <s v=""/>
    <m/>
    <m/>
  </r>
  <r>
    <n v="4"/>
    <x v="0"/>
    <x v="3"/>
    <n v="1"/>
    <n v="244828694.94685373"/>
    <n v="244828694.94685373"/>
    <s v=""/>
    <m/>
    <m/>
  </r>
  <r>
    <n v="5"/>
    <x v="0"/>
    <x v="4"/>
    <n v="1"/>
    <n v="0"/>
    <n v="0"/>
    <m/>
    <m/>
    <m/>
  </r>
  <r>
    <n v="6"/>
    <x v="1"/>
    <x v="0"/>
    <n v="1.4999999999999999E-2"/>
    <n v="116820000"/>
    <n v="116820000"/>
    <n v="1752300"/>
    <m/>
    <m/>
  </r>
  <r>
    <n v="7"/>
    <x v="1"/>
    <x v="1"/>
    <n v="2"/>
    <n v="116820000"/>
    <n v="233640000"/>
    <s v=""/>
    <n v="11872839"/>
    <n v="9.8392642231567358"/>
  </r>
  <r>
    <n v="8"/>
    <x v="2"/>
    <x v="0"/>
    <n v="2.5000000000000001E-2"/>
    <n v="249427750"/>
    <n v="249427750"/>
    <n v="6235693.75"/>
    <m/>
    <m/>
  </r>
  <r>
    <n v="9"/>
    <x v="2"/>
    <x v="1"/>
    <n v="3.34"/>
    <n v="249427750"/>
    <n v="833088685"/>
    <s v=""/>
    <n v="74415812"/>
    <n v="7"/>
  </r>
  <r>
    <n v="10"/>
    <x v="3"/>
    <x v="0"/>
    <n v="1.4999999999999999E-2"/>
    <n v="227306000"/>
    <n v="227306000"/>
    <n v="3409590"/>
    <m/>
    <m/>
  </r>
  <r>
    <n v="11"/>
    <x v="3"/>
    <x v="1"/>
    <n v="3"/>
    <n v="227306000"/>
    <n v="681918000"/>
    <s v=""/>
    <n v="10200000"/>
    <n v="10"/>
  </r>
  <r>
    <n v="12"/>
    <x v="3"/>
    <x v="5"/>
    <n v="1"/>
    <n v="90922400"/>
    <n v="90922400"/>
    <m/>
    <n v="10200000"/>
    <n v="10"/>
  </r>
  <r>
    <n v="13"/>
    <x v="3"/>
    <x v="6"/>
    <n v="1"/>
    <n v="90922400"/>
    <n v="90922400"/>
    <m/>
    <n v="10200000"/>
    <n v="10"/>
  </r>
  <r>
    <n v="14"/>
    <x v="4"/>
    <x v="0"/>
    <n v="1.4999999999999999E-2"/>
    <n v="89460000"/>
    <n v="89460000"/>
    <n v="1341900"/>
    <m/>
    <m/>
  </r>
  <r>
    <n v="15"/>
    <x v="4"/>
    <x v="1"/>
    <n v="3"/>
    <n v="89460000"/>
    <n v="268380000"/>
    <s v=""/>
    <n v="2625000"/>
    <n v="34.08"/>
  </r>
  <r>
    <n v="16"/>
    <x v="4"/>
    <x v="6"/>
    <n v="1"/>
    <n v="53676000"/>
    <n v="53676000"/>
    <m/>
    <m/>
    <m/>
  </r>
  <r>
    <n v="17"/>
    <x v="5"/>
    <x v="0"/>
    <n v="1.4999999999999999E-2"/>
    <n v="26124000"/>
    <n v="26124000"/>
    <n v="391860"/>
    <m/>
    <m/>
  </r>
  <r>
    <n v="18"/>
    <x v="5"/>
    <x v="1"/>
    <n v="3"/>
    <n v="26124000"/>
    <n v="78372000"/>
    <s v=""/>
    <m/>
    <m/>
  </r>
  <r>
    <n v="19"/>
    <x v="5"/>
    <x v="6"/>
    <n v="1"/>
    <n v="15674400"/>
    <n v="15674400"/>
    <s v=""/>
    <m/>
    <m/>
  </r>
  <r>
    <n v="20"/>
    <x v="5"/>
    <x v="5"/>
    <n v="1"/>
    <n v="10449600"/>
    <n v="10449600"/>
    <s v=""/>
    <m/>
    <m/>
  </r>
  <r>
    <n v="21"/>
    <x v="6"/>
    <x v="0"/>
    <n v="1.4999999999999999E-2"/>
    <n v="7000000"/>
    <n v="105000"/>
    <n v="1575"/>
    <m/>
    <m/>
  </r>
  <r>
    <n v="22"/>
    <x v="6"/>
    <x v="1"/>
    <n v="2"/>
    <n v="7000000"/>
    <n v="14000000"/>
    <s v=""/>
    <m/>
    <m/>
  </r>
  <r>
    <n v="23"/>
    <x v="7"/>
    <x v="7"/>
    <m/>
    <m/>
    <m/>
    <s v=""/>
    <m/>
    <m/>
  </r>
  <r>
    <n v="24"/>
    <x v="1"/>
    <x v="6"/>
    <n v="1"/>
    <n v="70092000"/>
    <n v="70092000"/>
    <s v=""/>
    <m/>
    <m/>
  </r>
  <r>
    <n v="25"/>
    <x v="1"/>
    <x v="5"/>
    <n v="1"/>
    <n v="0"/>
    <n v="0"/>
    <s v=""/>
    <m/>
    <m/>
  </r>
  <r>
    <n v="26"/>
    <x v="8"/>
    <x v="0"/>
    <n v="0.02"/>
    <n v="20737500"/>
    <n v="20737500"/>
    <n v="414750"/>
    <m/>
    <m/>
  </r>
  <r>
    <n v="27"/>
    <x v="8"/>
    <x v="1"/>
    <n v="6"/>
    <n v="20737500"/>
    <n v="124425000"/>
    <m/>
    <m/>
    <m/>
  </r>
  <r>
    <n v="28"/>
    <x v="2"/>
    <x v="6"/>
    <n v="1.17"/>
    <n v="149656650"/>
    <n v="175098280.5"/>
    <s v=""/>
    <m/>
    <n v="7"/>
  </r>
  <r>
    <n v="29"/>
    <x v="2"/>
    <x v="5"/>
    <n v="1.17"/>
    <n v="99771100"/>
    <n v="116732187"/>
    <s v=""/>
    <m/>
    <n v="7"/>
  </r>
  <r>
    <n v="30"/>
    <x v="3"/>
    <x v="3"/>
    <n v="1"/>
    <n v="129232400"/>
    <n v="129232400"/>
    <s v=""/>
    <m/>
    <m/>
  </r>
  <r>
    <n v="31"/>
    <x v="4"/>
    <x v="3"/>
    <n v="1"/>
    <n v="53676000"/>
    <n v="53676000"/>
    <s v=""/>
    <m/>
    <m/>
  </r>
  <r>
    <n v="32"/>
    <x v="5"/>
    <x v="3"/>
    <n v="1"/>
    <n v="18824400"/>
    <n v="18824400"/>
    <s v=""/>
    <m/>
    <m/>
  </r>
  <r>
    <n v="33"/>
    <x v="1"/>
    <x v="3"/>
    <n v="1"/>
    <n v="70092000"/>
    <n v="70092000"/>
    <s v=""/>
    <m/>
    <m/>
  </r>
  <r>
    <n v="34"/>
    <x v="3"/>
    <x v="4"/>
    <n v="1"/>
    <n v="38310000"/>
    <n v="38310000"/>
    <s v=""/>
    <n v="10200000"/>
    <n v="10"/>
  </r>
  <r>
    <n v="35"/>
    <x v="5"/>
    <x v="4"/>
    <n v="1"/>
    <n v="3150000"/>
    <n v="3150000"/>
    <s v=""/>
    <m/>
    <m/>
  </r>
  <r>
    <n v="36"/>
    <x v="0"/>
    <x v="8"/>
    <n v="1"/>
    <n v="0"/>
    <n v="0"/>
    <s v=""/>
    <m/>
    <m/>
  </r>
  <r>
    <n v="37"/>
    <x v="2"/>
    <x v="8"/>
    <n v="1"/>
    <n v="0"/>
    <n v="0"/>
    <s v=""/>
    <m/>
    <m/>
  </r>
  <r>
    <n v="38"/>
    <x v="3"/>
    <x v="8"/>
    <n v="1"/>
    <n v="0"/>
    <n v="0"/>
    <s v=""/>
    <m/>
    <m/>
  </r>
  <r>
    <n v="39"/>
    <x v="2"/>
    <x v="3"/>
    <n v="1"/>
    <n v="149656650"/>
    <n v="149656650"/>
    <m/>
    <m/>
    <m/>
  </r>
  <r>
    <n v="40"/>
    <x v="4"/>
    <x v="5"/>
    <n v="1"/>
    <n v="37296000"/>
    <n v="37296000"/>
    <m/>
    <m/>
    <m/>
  </r>
  <r>
    <m/>
    <x v="7"/>
    <x v="7"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n v="1.4999999999999999E-2"/>
    <n v="782331813.13462067"/>
    <n v="782331813.13462067"/>
    <n v="11734977.197019309"/>
  </r>
  <r>
    <n v="2"/>
    <x v="0"/>
    <x v="1"/>
    <n v="2.12"/>
    <n v="782331813.13462067"/>
    <n v="1658543443.8453958"/>
    <s v=""/>
  </r>
  <r>
    <n v="3"/>
    <x v="0"/>
    <x v="2"/>
    <n v="1"/>
    <n v="304237500"/>
    <n v="304237500"/>
    <s v=""/>
  </r>
  <r>
    <n v="4"/>
    <x v="0"/>
    <x v="3"/>
    <n v="1"/>
    <n v="244828694.94685373"/>
    <n v="244828694.94685373"/>
    <s v=""/>
  </r>
  <r>
    <n v="5"/>
    <x v="0"/>
    <x v="4"/>
    <n v="1"/>
    <n v="0"/>
    <n v="0"/>
    <m/>
  </r>
  <r>
    <n v="6"/>
    <x v="1"/>
    <x v="0"/>
    <n v="1.4999999999999999E-2"/>
    <n v="116820000"/>
    <n v="116820000"/>
    <n v="1752300"/>
  </r>
  <r>
    <n v="7"/>
    <x v="1"/>
    <x v="1"/>
    <n v="2"/>
    <n v="116820000"/>
    <n v="233640000"/>
    <s v=""/>
  </r>
  <r>
    <n v="8"/>
    <x v="2"/>
    <x v="0"/>
    <n v="2.5000000000000001E-2"/>
    <n v="249427750"/>
    <n v="249427750"/>
    <n v="6235693.75"/>
  </r>
  <r>
    <n v="9"/>
    <x v="2"/>
    <x v="1"/>
    <n v="3.34"/>
    <n v="249427750"/>
    <n v="833088685"/>
    <s v=""/>
  </r>
  <r>
    <n v="10"/>
    <x v="3"/>
    <x v="0"/>
    <n v="1.4999999999999999E-2"/>
    <n v="227306000"/>
    <n v="227306000"/>
    <n v="3409590"/>
  </r>
  <r>
    <n v="11"/>
    <x v="3"/>
    <x v="1"/>
    <n v="3"/>
    <n v="227306000"/>
    <n v="681918000"/>
    <s v=""/>
  </r>
  <r>
    <n v="12"/>
    <x v="3"/>
    <x v="5"/>
    <n v="1"/>
    <n v="90922400"/>
    <n v="90922400"/>
    <m/>
  </r>
  <r>
    <n v="13"/>
    <x v="3"/>
    <x v="6"/>
    <n v="1"/>
    <n v="90922400"/>
    <n v="90922400"/>
    <m/>
  </r>
  <r>
    <n v="14"/>
    <x v="4"/>
    <x v="0"/>
    <n v="1.4999999999999999E-2"/>
    <n v="89460000"/>
    <n v="89460000"/>
    <n v="1341900"/>
  </r>
  <r>
    <n v="15"/>
    <x v="4"/>
    <x v="1"/>
    <n v="3"/>
    <n v="89460000"/>
    <n v="268380000"/>
    <s v=""/>
  </r>
  <r>
    <n v="16"/>
    <x v="4"/>
    <x v="6"/>
    <n v="1"/>
    <n v="53676000"/>
    <n v="53676000"/>
    <m/>
  </r>
  <r>
    <n v="17"/>
    <x v="5"/>
    <x v="0"/>
    <n v="1.4999999999999999E-2"/>
    <n v="26124000"/>
    <n v="26124000"/>
    <n v="391860"/>
  </r>
  <r>
    <n v="18"/>
    <x v="5"/>
    <x v="1"/>
    <n v="3"/>
    <n v="26124000"/>
    <n v="78372000"/>
    <s v=""/>
  </r>
  <r>
    <n v="19"/>
    <x v="5"/>
    <x v="6"/>
    <n v="1"/>
    <n v="15674400"/>
    <n v="15674400"/>
    <s v=""/>
  </r>
  <r>
    <n v="20"/>
    <x v="5"/>
    <x v="5"/>
    <n v="1"/>
    <n v="10449600"/>
    <n v="10449600"/>
    <s v=""/>
  </r>
  <r>
    <n v="21"/>
    <x v="6"/>
    <x v="0"/>
    <n v="1.4999999999999999E-2"/>
    <n v="7000000"/>
    <n v="105000"/>
    <n v="1575"/>
  </r>
  <r>
    <n v="22"/>
    <x v="6"/>
    <x v="1"/>
    <n v="2"/>
    <n v="7000000"/>
    <n v="14000000"/>
    <s v=""/>
  </r>
  <r>
    <n v="23"/>
    <x v="7"/>
    <x v="7"/>
    <m/>
    <m/>
    <m/>
    <s v=""/>
  </r>
  <r>
    <n v="24"/>
    <x v="1"/>
    <x v="6"/>
    <n v="1"/>
    <n v="70092000"/>
    <n v="70092000"/>
    <s v=""/>
  </r>
  <r>
    <n v="25"/>
    <x v="1"/>
    <x v="5"/>
    <n v="1"/>
    <n v="0"/>
    <n v="0"/>
    <s v=""/>
  </r>
  <r>
    <n v="26"/>
    <x v="8"/>
    <x v="0"/>
    <n v="0.02"/>
    <n v="20737500"/>
    <n v="20737500"/>
    <n v="414750"/>
  </r>
  <r>
    <n v="27"/>
    <x v="8"/>
    <x v="1"/>
    <n v="6"/>
    <n v="20737500"/>
    <n v="124425000"/>
    <m/>
  </r>
  <r>
    <n v="28"/>
    <x v="2"/>
    <x v="6"/>
    <n v="1.17"/>
    <n v="149656650"/>
    <n v="175098280.5"/>
    <s v=""/>
  </r>
  <r>
    <n v="29"/>
    <x v="2"/>
    <x v="5"/>
    <n v="1.17"/>
    <n v="99771100"/>
    <n v="116732187"/>
    <s v=""/>
  </r>
  <r>
    <n v="30"/>
    <x v="3"/>
    <x v="3"/>
    <n v="1"/>
    <n v="129232400"/>
    <n v="129232400"/>
    <s v=""/>
  </r>
  <r>
    <n v="31"/>
    <x v="4"/>
    <x v="3"/>
    <n v="1"/>
    <n v="53676000"/>
    <n v="53676000"/>
    <s v=""/>
  </r>
  <r>
    <n v="32"/>
    <x v="5"/>
    <x v="3"/>
    <n v="1"/>
    <n v="18824400"/>
    <n v="18824400"/>
    <s v=""/>
  </r>
  <r>
    <n v="33"/>
    <x v="1"/>
    <x v="3"/>
    <n v="1"/>
    <n v="70092000"/>
    <n v="70092000"/>
    <s v=""/>
  </r>
  <r>
    <n v="34"/>
    <x v="3"/>
    <x v="4"/>
    <n v="1"/>
    <n v="38310000"/>
    <n v="38310000"/>
    <s v=""/>
  </r>
  <r>
    <n v="35"/>
    <x v="5"/>
    <x v="4"/>
    <n v="1"/>
    <n v="3150000"/>
    <n v="3150000"/>
    <s v=""/>
  </r>
  <r>
    <n v="36"/>
    <x v="0"/>
    <x v="8"/>
    <n v="1"/>
    <n v="0"/>
    <n v="0"/>
    <s v=""/>
  </r>
  <r>
    <n v="37"/>
    <x v="2"/>
    <x v="8"/>
    <n v="1"/>
    <n v="0"/>
    <n v="0"/>
    <s v=""/>
  </r>
  <r>
    <n v="38"/>
    <x v="3"/>
    <x v="8"/>
    <n v="1"/>
    <n v="0"/>
    <n v="0"/>
    <s v=""/>
  </r>
  <r>
    <n v="39"/>
    <x v="2"/>
    <x v="3"/>
    <n v="1"/>
    <n v="149656650"/>
    <n v="149656650"/>
    <m/>
  </r>
  <r>
    <n v="40"/>
    <x v="4"/>
    <x v="5"/>
    <n v="1"/>
    <n v="37296000"/>
    <n v="37296000"/>
    <m/>
  </r>
  <r>
    <m/>
    <x v="7"/>
    <x v="7"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s v="Sushila Nahar Equity MF"/>
    <x v="0"/>
    <n v="15368350"/>
  </r>
  <r>
    <n v="2"/>
    <s v="Other Investments"/>
    <s v="Yogita Agrawal PMS"/>
    <x v="0"/>
    <n v="40685877"/>
  </r>
  <r>
    <n v="3"/>
    <m/>
    <m/>
    <x v="1"/>
    <m/>
  </r>
  <r>
    <n v="4"/>
    <s v="Other Investments"/>
    <s v="Loan to Vihaan"/>
    <x v="2"/>
    <n v="3000000"/>
  </r>
  <r>
    <n v="5"/>
    <m/>
    <m/>
    <x v="1"/>
    <m/>
  </r>
  <r>
    <n v="6"/>
    <m/>
    <m/>
    <x v="1"/>
    <m/>
  </r>
  <r>
    <n v="7"/>
    <s v="Prop Deposits"/>
    <s v="Aurus Alpha Deposit"/>
    <x v="2"/>
    <n v="31500000"/>
  </r>
  <r>
    <n v="8"/>
    <s v="Prop Deposits"/>
    <s v="Aurus Alpha Profit"/>
    <x v="2"/>
    <n v="42915812"/>
  </r>
  <r>
    <n v="9"/>
    <s v="Other Investments"/>
    <s v="PMS QFH Strategy"/>
    <x v="0"/>
    <n v="6092676"/>
  </r>
  <r>
    <n v="10"/>
    <s v="Other Investments"/>
    <s v="Swan Capital"/>
    <x v="2"/>
    <n v="5881036"/>
  </r>
  <r>
    <n v="11"/>
    <s v="FD"/>
    <s v="HDFC Bank RN"/>
    <x v="3"/>
    <n v="1550293"/>
  </r>
  <r>
    <n v="12"/>
    <s v="FD"/>
    <s v="HDFC Bank Mishayan"/>
    <x v="3"/>
    <n v="4287189"/>
  </r>
  <r>
    <n v="13"/>
    <s v="Other Investments"/>
    <s v="YG"/>
    <x v="2"/>
    <n v="30312619.799999997"/>
  </r>
  <r>
    <n v="14"/>
    <s v="Other Investments"/>
    <s v="Interest Hand"/>
    <x v="2"/>
    <n v="0"/>
  </r>
  <r>
    <n v="15"/>
    <s v="FD"/>
    <s v="FD"/>
    <x v="2"/>
    <n v="23500000"/>
  </r>
  <r>
    <n v="16"/>
    <s v="Client Account"/>
    <s v="Zerodha Broking RN: EQ Holdings"/>
    <x v="0"/>
    <n v="101285005.39802733"/>
  </r>
  <r>
    <n v="17"/>
    <s v="Client Account"/>
    <s v="Zerodha Broking RN: EQ Mutual Funds"/>
    <x v="0"/>
    <n v="0"/>
  </r>
  <r>
    <n v="18"/>
    <s v="Client Account"/>
    <s v="Zerodha Broking RN: Cash"/>
    <x v="3"/>
    <n v="14852"/>
  </r>
  <r>
    <n v="19"/>
    <s v="Client Account"/>
    <s v="Zerodha Broking RN: Debt Mutual Funds"/>
    <x v="2"/>
    <n v="3946196.5210159998"/>
  </r>
  <r>
    <n v="20"/>
    <s v="Client Account"/>
    <s v="Zerodha Broking RN: EQ Holdings"/>
    <x v="4"/>
    <n v="6163056"/>
  </r>
  <r>
    <n v="21"/>
    <s v="Client Account"/>
    <s v="Zerodha Broking Mishayan: EQ Holdings"/>
    <x v="0"/>
    <n v="4298337.5"/>
  </r>
  <r>
    <n v="22"/>
    <s v="Client Account"/>
    <s v="Zerodha Broking Mishayan: EQ Mutual Fund"/>
    <x v="0"/>
    <n v="139245352.0488264"/>
  </r>
  <r>
    <n v="23"/>
    <s v="Client Account"/>
    <s v="Zerodha Broking Mishayan: Debt Mutual Fund"/>
    <x v="2"/>
    <n v="156238618.09675092"/>
  </r>
  <r>
    <n v="24"/>
    <s v="Client Account"/>
    <s v="Zerodha Broking Mishayan: Liquidbees/ Liquidcase"/>
    <x v="2"/>
    <n v="20087829.300000001"/>
  </r>
  <r>
    <n v="25"/>
    <s v="Client Account"/>
    <s v="Zerodha Broking Mishayan: Cash"/>
    <x v="3"/>
    <n v="185288687.27000001"/>
  </r>
  <r>
    <n v="26"/>
    <s v="Client Account"/>
    <s v="Zerodha Broking Mishayan: EQ Holdings"/>
    <x v="4"/>
    <n v="0"/>
  </r>
  <r>
    <n v="27"/>
    <s v="Prop Deposits"/>
    <s v="Marwadi Deposit"/>
    <x v="2"/>
    <n v="10200000"/>
  </r>
  <r>
    <n v="28"/>
    <s v="Prop Deposits"/>
    <s v="Marwadi Profits"/>
    <x v="2"/>
    <n v="39226199"/>
  </r>
  <r>
    <n v="29"/>
    <m/>
    <m/>
    <x v="1"/>
    <m/>
  </r>
  <r>
    <n v="30"/>
    <s v="Prop Deposits"/>
    <s v="Marwadi FPI Deposit (FD)"/>
    <x v="2"/>
    <n v="2625000"/>
  </r>
  <r>
    <n v="31"/>
    <s v="Prop Deposits"/>
    <s v="Affluence"/>
    <x v="2"/>
    <n v="5591229.75"/>
  </r>
  <r>
    <n v="32"/>
    <s v="Prop Deposits"/>
    <s v="Affluence High Risk"/>
    <x v="2"/>
    <n v="5128618.47"/>
  </r>
  <r>
    <n v="33"/>
    <s v="FD"/>
    <s v="ICICI Bank OD"/>
    <x v="2"/>
    <n v="48398458"/>
  </r>
  <r>
    <n v="34"/>
    <s v="Prop Deposits"/>
    <s v="Jainam Allocation Deposit"/>
    <x v="2"/>
    <n v="0"/>
  </r>
  <r>
    <n v="35"/>
    <s v="FD"/>
    <s v="HDFC Bank FD"/>
    <x v="2"/>
    <n v="1000000"/>
  </r>
  <r>
    <n v="36"/>
    <s v="Prop Deposits"/>
    <s v="Marwadi FPI Profits"/>
    <x v="2"/>
    <n v="15169806"/>
  </r>
  <r>
    <n v="37"/>
    <s v="FD"/>
    <s v="Nimai FD"/>
    <x v="2"/>
    <n v="0"/>
  </r>
  <r>
    <n v="38"/>
    <s v="FD"/>
    <s v="Arvind FD"/>
    <x v="2"/>
    <n v="700000"/>
  </r>
  <r>
    <n v="39"/>
    <s v="Other Investments"/>
    <s v="Sushila Nahar HDFC"/>
    <x v="3"/>
    <n v="0"/>
  </r>
  <r>
    <n v="40"/>
    <s v="Other Investments"/>
    <s v="Sushila Nahar Zerodha"/>
    <x v="0"/>
    <n v="13500000"/>
  </r>
  <r>
    <n v="41"/>
    <s v="FD"/>
    <s v="Sumesh FD"/>
    <x v="2"/>
    <n v="2500000"/>
  </r>
  <r>
    <n v="42"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m/>
  </r>
  <r>
    <x v="0"/>
    <x v="1"/>
    <m/>
  </r>
  <r>
    <x v="0"/>
    <x v="2"/>
    <n v="15368350"/>
  </r>
  <r>
    <x v="1"/>
    <x v="0"/>
    <m/>
  </r>
  <r>
    <x v="1"/>
    <x v="1"/>
    <m/>
  </r>
  <r>
    <x v="1"/>
    <x v="2"/>
    <n v="40685877"/>
  </r>
  <r>
    <x v="2"/>
    <x v="0"/>
    <m/>
  </r>
  <r>
    <x v="2"/>
    <x v="1"/>
    <m/>
  </r>
  <r>
    <x v="2"/>
    <x v="2"/>
    <n v="6092676"/>
  </r>
  <r>
    <x v="3"/>
    <x v="0"/>
    <m/>
  </r>
  <r>
    <x v="3"/>
    <x v="1"/>
    <m/>
  </r>
  <r>
    <x v="3"/>
    <x v="2"/>
    <n v="13500000"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5"/>
    <x v="0"/>
    <n v="142.69999694824199"/>
  </r>
  <r>
    <x v="5"/>
    <x v="1"/>
    <n v="1432440"/>
  </r>
  <r>
    <x v="5"/>
    <x v="2"/>
    <n v="1027439.97802734"/>
  </r>
  <r>
    <x v="6"/>
    <x v="0"/>
    <n v="769"/>
  </r>
  <r>
    <x v="6"/>
    <x v="1"/>
    <n v="11378879.07"/>
  </r>
  <r>
    <x v="6"/>
    <x v="2"/>
    <n v="10842900"/>
  </r>
  <r>
    <x v="5"/>
    <x v="0"/>
    <n v="437.75"/>
  </r>
  <r>
    <x v="5"/>
    <x v="1"/>
    <n v="1128357"/>
  </r>
  <r>
    <x v="5"/>
    <x v="2"/>
    <n v="1359213.75"/>
  </r>
  <r>
    <x v="5"/>
    <x v="0"/>
    <n v="499.65"/>
  </r>
  <r>
    <x v="5"/>
    <x v="1"/>
    <n v="1951916.2"/>
  </r>
  <r>
    <x v="5"/>
    <x v="2"/>
    <n v="2052562.2"/>
  </r>
  <r>
    <x v="5"/>
    <x v="0"/>
    <n v="1621.8"/>
  </r>
  <r>
    <x v="5"/>
    <x v="1"/>
    <n v="1612826"/>
  </r>
  <r>
    <x v="5"/>
    <x v="2"/>
    <n v="1511517.5999999901"/>
  </r>
  <r>
    <x v="7"/>
    <x v="0"/>
    <n v="14.04"/>
  </r>
  <r>
    <x v="7"/>
    <x v="1"/>
    <n v="4762500"/>
  </r>
  <r>
    <x v="7"/>
    <x v="2"/>
    <n v="3510000"/>
  </r>
  <r>
    <x v="5"/>
    <x v="0"/>
    <n v="244.15"/>
  </r>
  <r>
    <x v="5"/>
    <x v="1"/>
    <n v="2654042.25"/>
  </r>
  <r>
    <x v="5"/>
    <x v="2"/>
    <n v="2279628.5499999998"/>
  </r>
  <r>
    <x v="5"/>
    <x v="0"/>
    <n v="913.75"/>
  </r>
  <r>
    <x v="5"/>
    <x v="1"/>
    <n v="1599370.35"/>
  </r>
  <r>
    <x v="5"/>
    <x v="2"/>
    <n v="1263716.25"/>
  </r>
  <r>
    <x v="5"/>
    <x v="0"/>
    <n v="268.05"/>
  </r>
  <r>
    <x v="5"/>
    <x v="1"/>
    <n v="1402325.7"/>
  </r>
  <r>
    <x v="5"/>
    <x v="2"/>
    <n v="1284227.55"/>
  </r>
  <r>
    <x v="7"/>
    <x v="0"/>
    <n v="419.35"/>
  </r>
  <r>
    <x v="7"/>
    <x v="1"/>
    <n v="5036875.01"/>
  </r>
  <r>
    <x v="7"/>
    <x v="2"/>
    <n v="4298337.5"/>
  </r>
  <r>
    <x v="7"/>
    <x v="0"/>
    <n v="36.31"/>
  </r>
  <r>
    <x v="7"/>
    <x v="1"/>
    <n v="2047500"/>
  </r>
  <r>
    <x v="7"/>
    <x v="2"/>
    <n v="1815500"/>
  </r>
  <r>
    <x v="8"/>
    <x v="0"/>
    <n v="121.32"/>
  </r>
  <r>
    <x v="8"/>
    <x v="1"/>
    <n v="6677659.9999999898"/>
  </r>
  <r>
    <x v="8"/>
    <x v="2"/>
    <n v="6163056"/>
  </r>
  <r>
    <x v="5"/>
    <x v="0"/>
    <n v="959.6"/>
  </r>
  <r>
    <x v="5"/>
    <x v="1"/>
    <n v="1973930.9"/>
  </r>
  <r>
    <x v="5"/>
    <x v="2"/>
    <n v="1513289.2"/>
  </r>
  <r>
    <x v="5"/>
    <x v="0"/>
    <n v="5218.5"/>
  </r>
  <r>
    <x v="5"/>
    <x v="1"/>
    <n v="1868792.4"/>
  </r>
  <r>
    <x v="5"/>
    <x v="2"/>
    <n v="1649046"/>
  </r>
  <r>
    <x v="6"/>
    <x v="0"/>
    <n v="270.95"/>
  </r>
  <r>
    <x v="6"/>
    <x v="1"/>
    <n v="6060621"/>
  </r>
  <r>
    <x v="6"/>
    <x v="2"/>
    <n v="4912865.3999999901"/>
  </r>
  <r>
    <x v="5"/>
    <x v="0"/>
    <n v="719.95"/>
  </r>
  <r>
    <x v="5"/>
    <x v="1"/>
    <n v="1695904.79999999"/>
  </r>
  <r>
    <x v="5"/>
    <x v="2"/>
    <n v="1595409.2"/>
  </r>
  <r>
    <x v="5"/>
    <x v="0"/>
    <n v="271.8"/>
  </r>
  <r>
    <x v="5"/>
    <x v="1"/>
    <n v="2633242.5499999998"/>
  </r>
  <r>
    <x v="5"/>
    <x v="2"/>
    <n v="2446471.7999999998"/>
  </r>
  <r>
    <x v="5"/>
    <x v="0"/>
    <n v="1547.6"/>
  </r>
  <r>
    <x v="5"/>
    <x v="1"/>
    <n v="2258222.4"/>
  </r>
  <r>
    <x v="5"/>
    <x v="2"/>
    <n v="3194246.4"/>
  </r>
  <r>
    <x v="5"/>
    <x v="0"/>
    <n v="278.95"/>
  </r>
  <r>
    <x v="5"/>
    <x v="1"/>
    <n v="1498731.25"/>
  </r>
  <r>
    <x v="5"/>
    <x v="2"/>
    <n v="1290143.75"/>
  </r>
  <r>
    <x v="5"/>
    <x v="0"/>
    <n v="475.45"/>
  </r>
  <r>
    <x v="5"/>
    <x v="1"/>
    <n v="1684207.2"/>
  </r>
  <r>
    <x v="5"/>
    <x v="2"/>
    <n v="1705914.5999999901"/>
  </r>
  <r>
    <x v="7"/>
    <x v="0"/>
    <n v="893.4"/>
  </r>
  <r>
    <x v="7"/>
    <x v="1"/>
    <n v="6341440"/>
  </r>
  <r>
    <x v="7"/>
    <x v="2"/>
    <n v="5324664"/>
  </r>
  <r>
    <x v="9"/>
    <x v="0"/>
    <n v="113.19"/>
  </r>
  <r>
    <x v="9"/>
    <x v="1"/>
    <n v="20002643.699999999"/>
  </r>
  <r>
    <x v="9"/>
    <x v="2"/>
    <n v="20087829.300000001"/>
  </r>
  <r>
    <x v="10"/>
    <x v="0"/>
    <n v="28.9"/>
  </r>
  <r>
    <x v="10"/>
    <x v="1"/>
    <n v="6000020"/>
  </r>
  <r>
    <x v="10"/>
    <x v="2"/>
    <n v="5675960"/>
  </r>
  <r>
    <x v="10"/>
    <x v="0"/>
    <n v="47.56"/>
  </r>
  <r>
    <x v="10"/>
    <x v="1"/>
    <n v="6004347.9100000001"/>
  </r>
  <r>
    <x v="10"/>
    <x v="2"/>
    <n v="5756234.3600000003"/>
  </r>
  <r>
    <x v="7"/>
    <x v="0"/>
    <n v="243.25"/>
  </r>
  <r>
    <x v="7"/>
    <x v="1"/>
    <n v="4927824"/>
  </r>
  <r>
    <x v="7"/>
    <x v="2"/>
    <n v="4281200"/>
  </r>
  <r>
    <x v="5"/>
    <x v="0"/>
    <n v="1510.1"/>
  </r>
  <r>
    <x v="5"/>
    <x v="1"/>
    <n v="1608156.55"/>
  </r>
  <r>
    <x v="5"/>
    <x v="2"/>
    <n v="1342478.9"/>
  </r>
  <r>
    <x v="7"/>
    <x v="0"/>
    <n v="200"/>
  </r>
  <r>
    <x v="7"/>
    <x v="1"/>
    <n v="675000"/>
  </r>
  <r>
    <x v="7"/>
    <x v="2"/>
    <n v="600000"/>
  </r>
  <r>
    <x v="5"/>
    <x v="0"/>
    <n v="139.53"/>
  </r>
  <r>
    <x v="5"/>
    <x v="1"/>
    <n v="1275123.6000000001"/>
  </r>
  <r>
    <x v="5"/>
    <x v="2"/>
    <n v="1115123.76"/>
  </r>
  <r>
    <x v="5"/>
    <x v="0"/>
    <n v="835.65"/>
  </r>
  <r>
    <x v="5"/>
    <x v="1"/>
    <n v="1667586.45"/>
  </r>
  <r>
    <x v="5"/>
    <x v="2"/>
    <n v="1899432.45"/>
  </r>
  <r>
    <x v="5"/>
    <x v="0"/>
    <n v="1965.4"/>
  </r>
  <r>
    <x v="5"/>
    <x v="1"/>
    <n v="1354370"/>
  </r>
  <r>
    <x v="5"/>
    <x v="2"/>
    <n v="1312887.2"/>
  </r>
  <r>
    <x v="6"/>
    <x v="0"/>
    <n v="26.45"/>
  </r>
  <r>
    <x v="6"/>
    <x v="1"/>
    <n v="16915953.037"/>
  </r>
  <r>
    <x v="6"/>
    <x v="2"/>
    <n v="11513023.75"/>
  </r>
  <r>
    <x v="5"/>
    <x v="0"/>
    <n v="85.68"/>
  </r>
  <r>
    <x v="5"/>
    <x v="1"/>
    <n v="1648423.7"/>
  </r>
  <r>
    <x v="5"/>
    <x v="2"/>
    <n v="1570171.68"/>
  </r>
  <r>
    <x v="5"/>
    <x v="0"/>
    <n v="492.45"/>
  </r>
  <r>
    <x v="5"/>
    <x v="1"/>
    <n v="1466063.5"/>
  </r>
  <r>
    <x v="5"/>
    <x v="2"/>
    <n v="1164644.25"/>
  </r>
  <r>
    <x v="5"/>
    <x v="0"/>
    <n v="305.39999999999998"/>
  </r>
  <r>
    <x v="5"/>
    <x v="1"/>
    <n v="1748198.3999999999"/>
  </r>
  <r>
    <x v="5"/>
    <x v="2"/>
    <n v="1635722.4"/>
  </r>
  <r>
    <x v="5"/>
    <x v="0"/>
    <n v="351.25"/>
  </r>
  <r>
    <x v="5"/>
    <x v="1"/>
    <n v="1261387.8"/>
  </r>
  <r>
    <x v="5"/>
    <x v="2"/>
    <n v="1298922.5"/>
  </r>
  <r>
    <x v="5"/>
    <x v="0"/>
    <n v="400.8"/>
  </r>
  <r>
    <x v="5"/>
    <x v="1"/>
    <n v="1690179.45"/>
  </r>
  <r>
    <x v="5"/>
    <x v="2"/>
    <n v="1541877.6"/>
  </r>
  <r>
    <x v="5"/>
    <x v="0"/>
    <n v="231.51"/>
  </r>
  <r>
    <x v="5"/>
    <x v="1"/>
    <n v="1692567.8"/>
  </r>
  <r>
    <x v="5"/>
    <x v="2"/>
    <n v="2077107.72"/>
  </r>
  <r>
    <x v="5"/>
    <x v="0"/>
    <n v="579.9"/>
  </r>
  <r>
    <x v="5"/>
    <x v="1"/>
    <n v="1999332"/>
  </r>
  <r>
    <x v="5"/>
    <x v="2"/>
    <n v="1695047.7"/>
  </r>
  <r>
    <x v="5"/>
    <x v="0"/>
    <n v="11.73"/>
  </r>
  <r>
    <x v="5"/>
    <x v="1"/>
    <n v="1372611.2"/>
  </r>
  <r>
    <x v="5"/>
    <x v="2"/>
    <n v="1359858.9"/>
  </r>
  <r>
    <x v="5"/>
    <x v="0"/>
    <n v="2381"/>
  </r>
  <r>
    <x v="5"/>
    <x v="1"/>
    <n v="1514347.45"/>
  </r>
  <r>
    <x v="5"/>
    <x v="2"/>
    <n v="1383361"/>
  </r>
  <r>
    <x v="5"/>
    <x v="0"/>
    <n v="795"/>
  </r>
  <r>
    <x v="5"/>
    <x v="1"/>
    <n v="1646539.85"/>
  </r>
  <r>
    <x v="5"/>
    <x v="2"/>
    <n v="1813395"/>
  </r>
  <r>
    <x v="5"/>
    <x v="0"/>
    <n v="506"/>
  </r>
  <r>
    <x v="5"/>
    <x v="1"/>
    <n v="1888589.99999999"/>
  </r>
  <r>
    <x v="5"/>
    <x v="2"/>
    <n v="1669800"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11"/>
    <x v="3"/>
    <m/>
  </r>
  <r>
    <x v="11"/>
    <x v="4"/>
    <m/>
  </r>
  <r>
    <x v="11"/>
    <x v="1"/>
    <m/>
  </r>
  <r>
    <x v="11"/>
    <x v="2"/>
    <n v="3000000"/>
  </r>
  <r>
    <x v="12"/>
    <x v="3"/>
    <m/>
  </r>
  <r>
    <x v="12"/>
    <x v="4"/>
    <m/>
  </r>
  <r>
    <x v="12"/>
    <x v="1"/>
    <m/>
  </r>
  <r>
    <x v="12"/>
    <x v="2"/>
    <n v="31500000"/>
  </r>
  <r>
    <x v="13"/>
    <x v="3"/>
    <m/>
  </r>
  <r>
    <x v="13"/>
    <x v="4"/>
    <m/>
  </r>
  <r>
    <x v="13"/>
    <x v="1"/>
    <m/>
  </r>
  <r>
    <x v="13"/>
    <x v="2"/>
    <n v="42915812"/>
  </r>
  <r>
    <x v="14"/>
    <x v="3"/>
    <m/>
  </r>
  <r>
    <x v="14"/>
    <x v="4"/>
    <m/>
  </r>
  <r>
    <x v="14"/>
    <x v="1"/>
    <m/>
  </r>
  <r>
    <x v="14"/>
    <x v="2"/>
    <n v="5881036"/>
  </r>
  <r>
    <x v="15"/>
    <x v="3"/>
    <m/>
  </r>
  <r>
    <x v="15"/>
    <x v="4"/>
    <m/>
  </r>
  <r>
    <x v="15"/>
    <x v="1"/>
    <m/>
  </r>
  <r>
    <x v="15"/>
    <x v="2"/>
    <n v="30312619.799999997"/>
  </r>
  <r>
    <x v="16"/>
    <x v="3"/>
    <m/>
  </r>
  <r>
    <x v="16"/>
    <x v="4"/>
    <m/>
  </r>
  <r>
    <x v="16"/>
    <x v="1"/>
    <m/>
  </r>
  <r>
    <x v="16"/>
    <x v="2"/>
    <n v="0"/>
  </r>
  <r>
    <x v="17"/>
    <x v="3"/>
    <m/>
  </r>
  <r>
    <x v="17"/>
    <x v="4"/>
    <m/>
  </r>
  <r>
    <x v="17"/>
    <x v="1"/>
    <m/>
  </r>
  <r>
    <x v="17"/>
    <x v="2"/>
    <n v="23500000"/>
  </r>
  <r>
    <x v="18"/>
    <x v="3"/>
    <m/>
  </r>
  <r>
    <x v="18"/>
    <x v="4"/>
    <m/>
  </r>
  <r>
    <x v="18"/>
    <x v="1"/>
    <m/>
  </r>
  <r>
    <x v="18"/>
    <x v="2"/>
    <n v="10200000"/>
  </r>
  <r>
    <x v="19"/>
    <x v="3"/>
    <m/>
  </r>
  <r>
    <x v="19"/>
    <x v="4"/>
    <m/>
  </r>
  <r>
    <x v="19"/>
    <x v="1"/>
    <m/>
  </r>
  <r>
    <x v="19"/>
    <x v="2"/>
    <n v="39226199"/>
  </r>
  <r>
    <x v="20"/>
    <x v="3"/>
    <m/>
  </r>
  <r>
    <x v="20"/>
    <x v="4"/>
    <m/>
  </r>
  <r>
    <x v="20"/>
    <x v="1"/>
    <m/>
  </r>
  <r>
    <x v="20"/>
    <x v="2"/>
    <n v="2625000"/>
  </r>
  <r>
    <x v="21"/>
    <x v="3"/>
    <m/>
  </r>
  <r>
    <x v="21"/>
    <x v="4"/>
    <m/>
  </r>
  <r>
    <x v="21"/>
    <x v="1"/>
    <m/>
  </r>
  <r>
    <x v="21"/>
    <x v="2"/>
    <n v="5591229.75"/>
  </r>
  <r>
    <x v="22"/>
    <x v="3"/>
    <m/>
  </r>
  <r>
    <x v="22"/>
    <x v="4"/>
    <m/>
  </r>
  <r>
    <x v="22"/>
    <x v="1"/>
    <m/>
  </r>
  <r>
    <x v="22"/>
    <x v="2"/>
    <n v="5128618.47"/>
  </r>
  <r>
    <x v="23"/>
    <x v="3"/>
    <m/>
  </r>
  <r>
    <x v="23"/>
    <x v="4"/>
    <m/>
  </r>
  <r>
    <x v="23"/>
    <x v="1"/>
    <m/>
  </r>
  <r>
    <x v="23"/>
    <x v="2"/>
    <n v="48398458"/>
  </r>
  <r>
    <x v="24"/>
    <x v="3"/>
    <m/>
  </r>
  <r>
    <x v="24"/>
    <x v="4"/>
    <m/>
  </r>
  <r>
    <x v="24"/>
    <x v="1"/>
    <m/>
  </r>
  <r>
    <x v="24"/>
    <x v="2"/>
    <n v="0"/>
  </r>
  <r>
    <x v="25"/>
    <x v="3"/>
    <m/>
  </r>
  <r>
    <x v="25"/>
    <x v="4"/>
    <m/>
  </r>
  <r>
    <x v="25"/>
    <x v="1"/>
    <m/>
  </r>
  <r>
    <x v="25"/>
    <x v="2"/>
    <n v="1000000"/>
  </r>
  <r>
    <x v="26"/>
    <x v="3"/>
    <m/>
  </r>
  <r>
    <x v="26"/>
    <x v="4"/>
    <m/>
  </r>
  <r>
    <x v="26"/>
    <x v="1"/>
    <m/>
  </r>
  <r>
    <x v="26"/>
    <x v="2"/>
    <n v="15169806"/>
  </r>
  <r>
    <x v="27"/>
    <x v="3"/>
    <m/>
  </r>
  <r>
    <x v="27"/>
    <x v="4"/>
    <m/>
  </r>
  <r>
    <x v="27"/>
    <x v="1"/>
    <m/>
  </r>
  <r>
    <x v="27"/>
    <x v="2"/>
    <n v="0"/>
  </r>
  <r>
    <x v="28"/>
    <x v="3"/>
    <m/>
  </r>
  <r>
    <x v="28"/>
    <x v="4"/>
    <m/>
  </r>
  <r>
    <x v="28"/>
    <x v="1"/>
    <m/>
  </r>
  <r>
    <x v="28"/>
    <x v="2"/>
    <n v="700000"/>
  </r>
  <r>
    <x v="29"/>
    <x v="3"/>
    <m/>
  </r>
  <r>
    <x v="29"/>
    <x v="4"/>
    <m/>
  </r>
  <r>
    <x v="29"/>
    <x v="1"/>
    <m/>
  </r>
  <r>
    <x v="29"/>
    <x v="2"/>
    <n v="0"/>
  </r>
  <r>
    <x v="30"/>
    <x v="3"/>
    <m/>
  </r>
  <r>
    <x v="30"/>
    <x v="4"/>
    <m/>
  </r>
  <r>
    <x v="30"/>
    <x v="1"/>
    <m/>
  </r>
  <r>
    <x v="30"/>
    <x v="2"/>
    <n v="2500000"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31"/>
    <x v="3"/>
    <s v="Mutual Funds"/>
  </r>
  <r>
    <x v="31"/>
    <x v="4"/>
    <n v="444.05410000000001"/>
  </r>
  <r>
    <x v="31"/>
    <x v="1"/>
    <n v="5225799.0516210003"/>
  </r>
  <r>
    <x v="31"/>
    <x v="2"/>
    <n v="5666626.7684837999"/>
  </r>
  <r>
    <x v="31"/>
    <x v="3"/>
    <s v="Mutual Funds"/>
  </r>
  <r>
    <x v="31"/>
    <x v="4"/>
    <n v="391.64089999999999"/>
  </r>
  <r>
    <x v="31"/>
    <x v="1"/>
    <n v="49997673.399774"/>
  </r>
  <r>
    <x v="31"/>
    <x v="2"/>
    <n v="51528622.843067303"/>
  </r>
  <r>
    <x v="10"/>
    <x v="3"/>
    <s v="Mutual Funds"/>
  </r>
  <r>
    <x v="10"/>
    <x v="4"/>
    <n v="9.8341999999999992"/>
  </r>
  <r>
    <x v="10"/>
    <x v="1"/>
    <n v="4046788.2043674001"/>
  </r>
  <r>
    <x v="10"/>
    <x v="2"/>
    <n v="3658679.8830041899"/>
  </r>
  <r>
    <x v="32"/>
    <x v="3"/>
    <s v="Mutual Funds"/>
  </r>
  <r>
    <x v="32"/>
    <x v="4"/>
    <n v="17.361899999999999"/>
  </r>
  <r>
    <x v="32"/>
    <x v="1"/>
    <n v="30827431.482343599"/>
  </r>
  <r>
    <x v="32"/>
    <x v="2"/>
    <n v="29509718.586378299"/>
  </r>
  <r>
    <x v="10"/>
    <x v="3"/>
    <s v="Mutual Funds"/>
  </r>
  <r>
    <x v="10"/>
    <x v="4"/>
    <n v="13.504"/>
  </r>
  <r>
    <x v="10"/>
    <x v="1"/>
    <n v="44240583.543999597"/>
  </r>
  <r>
    <x v="10"/>
    <x v="2"/>
    <n v="39996119.732864"/>
  </r>
  <r>
    <x v="31"/>
    <x v="3"/>
    <s v="Mutual Funds"/>
  </r>
  <r>
    <x v="31"/>
    <x v="4"/>
    <n v="4990.0879999999997"/>
  </r>
  <r>
    <x v="31"/>
    <x v="1"/>
    <n v="39997995.436898299"/>
  </r>
  <r>
    <x v="31"/>
    <x v="2"/>
    <n v="40877867.749543898"/>
  </r>
  <r>
    <x v="31"/>
    <x v="3"/>
    <s v="Personal Mutual Funds Zerodha"/>
  </r>
  <r>
    <x v="31"/>
    <x v="4"/>
    <n v="4990.0879999999997"/>
  </r>
  <r>
    <x v="31"/>
    <x v="1"/>
    <n v="3863305.7128900001"/>
  </r>
  <r>
    <x v="31"/>
    <x v="2"/>
    <n v="3946196.5210159998"/>
  </r>
  <r>
    <x v="10"/>
    <x v="3"/>
    <s v="Mutual Funds"/>
  </r>
  <r>
    <x v="10"/>
    <x v="4"/>
    <n v="7.3845000000000001"/>
  </r>
  <r>
    <x v="10"/>
    <x v="1"/>
    <n v="9344479.5547106005"/>
  </r>
  <r>
    <x v="10"/>
    <x v="2"/>
    <n v="8390499.7837770004"/>
  </r>
  <r>
    <x v="31"/>
    <x v="3"/>
    <s v="Mutual Funds"/>
  </r>
  <r>
    <x v="31"/>
    <x v="4"/>
    <n v="4394.3188"/>
  </r>
  <r>
    <x v="31"/>
    <x v="1"/>
    <n v="19998997.9311"/>
  </r>
  <r>
    <x v="31"/>
    <x v="2"/>
    <n v="20152302.073612001"/>
  </r>
  <r>
    <x v="33"/>
    <x v="3"/>
    <s v="Mutual Funds"/>
  </r>
  <r>
    <x v="33"/>
    <x v="4"/>
    <n v="30.998000000000001"/>
  </r>
  <r>
    <x v="33"/>
    <x v="1"/>
    <n v="272796.05390239903"/>
  </r>
  <r>
    <x v="33"/>
    <x v="2"/>
    <n v="243120.84777200001"/>
  </r>
  <r>
    <x v="33"/>
    <x v="3"/>
    <s v="Mutual Funds"/>
  </r>
  <r>
    <x v="33"/>
    <x v="4"/>
    <n v="14.452500000000001"/>
  </r>
  <r>
    <x v="33"/>
    <x v="1"/>
    <n v="19016077.309509799"/>
  </r>
  <r>
    <x v="33"/>
    <x v="2"/>
    <n v="18067479.920564901"/>
  </r>
  <r>
    <x v="31"/>
    <x v="3"/>
    <s v="Mutual Funds"/>
  </r>
  <r>
    <x v="31"/>
    <x v="4"/>
    <n v="4339.6039000000001"/>
  </r>
  <r>
    <x v="31"/>
    <x v="1"/>
    <n v="35219723.4484955"/>
  </r>
  <r>
    <x v="31"/>
    <x v="2"/>
    <n v="38013198.662043899"/>
  </r>
  <r>
    <x v="10"/>
    <x v="3"/>
    <s v="Mutual Funds"/>
  </r>
  <r>
    <x v="10"/>
    <x v="4"/>
    <n v="16.634"/>
  </r>
  <r>
    <x v="10"/>
    <x v="1"/>
    <n v="38817777.824217796"/>
  </r>
  <r>
    <x v="10"/>
    <x v="2"/>
    <n v="39379733.294465996"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x v="0"/>
    <x v="0"/>
    <n v="15368350"/>
    <s v="Rishabh Nahar"/>
  </r>
  <r>
    <n v="2"/>
    <s v="Other Investments"/>
    <x v="1"/>
    <x v="0"/>
    <n v="40685877"/>
    <s v="Rishabh Nahar"/>
  </r>
  <r>
    <n v="3"/>
    <m/>
    <x v="2"/>
    <x v="1"/>
    <m/>
    <m/>
  </r>
  <r>
    <n v="4"/>
    <s v="Other Investments"/>
    <x v="3"/>
    <x v="2"/>
    <n v="3000000"/>
    <s v="Rishabh Nahar"/>
  </r>
  <r>
    <n v="5"/>
    <m/>
    <x v="2"/>
    <x v="1"/>
    <m/>
    <m/>
  </r>
  <r>
    <n v="6"/>
    <m/>
    <x v="2"/>
    <x v="1"/>
    <m/>
    <m/>
  </r>
  <r>
    <n v="7"/>
    <s v="Prop Deposits"/>
    <x v="4"/>
    <x v="2"/>
    <n v="31500000"/>
    <s v="Mishayan"/>
  </r>
  <r>
    <n v="8"/>
    <s v="Prop Deposits"/>
    <x v="5"/>
    <x v="2"/>
    <n v="42915812"/>
    <s v="Rishabh Nahar"/>
  </r>
  <r>
    <n v="9"/>
    <s v="Other Investments"/>
    <x v="6"/>
    <x v="0"/>
    <n v="6092676"/>
    <s v="Rishabh Nahar"/>
  </r>
  <r>
    <n v="10"/>
    <s v="Other Investments"/>
    <x v="7"/>
    <x v="2"/>
    <n v="5881036"/>
    <s v="Rishabh Nahar"/>
  </r>
  <r>
    <n v="11"/>
    <s v="FD"/>
    <x v="8"/>
    <x v="3"/>
    <n v="1550293"/>
    <s v="Rishabh Nahar"/>
  </r>
  <r>
    <n v="12"/>
    <s v="FD"/>
    <x v="9"/>
    <x v="3"/>
    <n v="4287189"/>
    <s v="Mishayan"/>
  </r>
  <r>
    <n v="13"/>
    <s v="Other Investments"/>
    <x v="10"/>
    <x v="2"/>
    <n v="30312619.799999997"/>
    <s v="Rishabh Nahar"/>
  </r>
  <r>
    <n v="14"/>
    <s v="Other Investments"/>
    <x v="11"/>
    <x v="2"/>
    <n v="0"/>
    <s v="Rishabh Nahar"/>
  </r>
  <r>
    <n v="15"/>
    <s v="FD"/>
    <x v="12"/>
    <x v="2"/>
    <n v="23500000"/>
    <s v="Rishabh Nahar"/>
  </r>
  <r>
    <n v="16"/>
    <s v="Client Account"/>
    <x v="13"/>
    <x v="0"/>
    <n v="101285005.39802733"/>
    <s v="Rishabh Nahar"/>
  </r>
  <r>
    <n v="17"/>
    <s v="Client Account"/>
    <x v="14"/>
    <x v="0"/>
    <n v="0"/>
    <s v="Rishabh Nahar"/>
  </r>
  <r>
    <n v="18"/>
    <s v="Client Account"/>
    <x v="15"/>
    <x v="3"/>
    <n v="14852"/>
    <s v="Rishabh Nahar"/>
  </r>
  <r>
    <n v="19"/>
    <s v="Client Account"/>
    <x v="16"/>
    <x v="2"/>
    <n v="3946196.5210159998"/>
    <s v="Rishabh Nahar"/>
  </r>
  <r>
    <n v="20"/>
    <s v="Client Account"/>
    <x v="13"/>
    <x v="4"/>
    <n v="6163056"/>
    <s v="Rishabh Nahar"/>
  </r>
  <r>
    <n v="21"/>
    <s v="Client Account"/>
    <x v="17"/>
    <x v="0"/>
    <n v="4298337.5"/>
    <s v="Mishayan"/>
  </r>
  <r>
    <n v="22"/>
    <s v="Client Account"/>
    <x v="18"/>
    <x v="0"/>
    <n v="139245352.0488264"/>
    <s v="Mishayan"/>
  </r>
  <r>
    <n v="23"/>
    <s v="Client Account"/>
    <x v="19"/>
    <x v="2"/>
    <n v="156238618.09675092"/>
    <s v="Mishayan"/>
  </r>
  <r>
    <n v="24"/>
    <s v="Client Account"/>
    <x v="20"/>
    <x v="2"/>
    <n v="20087829.300000001"/>
    <s v="Mishayan"/>
  </r>
  <r>
    <n v="25"/>
    <s v="Client Account"/>
    <x v="21"/>
    <x v="3"/>
    <n v="185288687.27000001"/>
    <s v="Mishayan"/>
  </r>
  <r>
    <n v="26"/>
    <s v="Client Account"/>
    <x v="17"/>
    <x v="4"/>
    <n v="0"/>
    <s v="Mishayan"/>
  </r>
  <r>
    <n v="27"/>
    <s v="Prop Deposits"/>
    <x v="22"/>
    <x v="2"/>
    <n v="10200000"/>
    <s v="Rishabh Nahar"/>
  </r>
  <r>
    <n v="28"/>
    <s v="Prop Deposits"/>
    <x v="23"/>
    <x v="2"/>
    <n v="39226199"/>
    <s v="Rishabh Nahar"/>
  </r>
  <r>
    <n v="29"/>
    <m/>
    <x v="2"/>
    <x v="1"/>
    <m/>
    <m/>
  </r>
  <r>
    <n v="30"/>
    <s v="Prop Deposits"/>
    <x v="24"/>
    <x v="2"/>
    <n v="2625000"/>
    <s v="Rishabh Nahar"/>
  </r>
  <r>
    <n v="31"/>
    <s v="Prop Deposits"/>
    <x v="25"/>
    <x v="2"/>
    <n v="5591229.75"/>
    <s v="Rishabh Nahar"/>
  </r>
  <r>
    <n v="32"/>
    <s v="Prop Deposits"/>
    <x v="26"/>
    <x v="2"/>
    <n v="5128618.47"/>
    <s v="Rishabh Nahar"/>
  </r>
  <r>
    <n v="33"/>
    <s v="FD"/>
    <x v="27"/>
    <x v="2"/>
    <n v="48398458"/>
    <s v="Rishabh Nahar"/>
  </r>
  <r>
    <n v="34"/>
    <s v="Prop Deposits"/>
    <x v="28"/>
    <x v="2"/>
    <n v="0"/>
    <s v="Deepak Nahar"/>
  </r>
  <r>
    <n v="35"/>
    <s v="FD"/>
    <x v="29"/>
    <x v="2"/>
    <n v="1000000"/>
    <s v="Mishayan"/>
  </r>
  <r>
    <n v="36"/>
    <s v="Prop Deposits"/>
    <x v="30"/>
    <x v="2"/>
    <n v="15169806"/>
    <s v="Rishabh Nahar"/>
  </r>
  <r>
    <n v="37"/>
    <s v="FD"/>
    <x v="31"/>
    <x v="2"/>
    <n v="0"/>
    <s v="Rishabh Nahar"/>
  </r>
  <r>
    <n v="38"/>
    <s v="FD"/>
    <x v="32"/>
    <x v="2"/>
    <n v="700000"/>
    <s v="Rishabh Nahar"/>
  </r>
  <r>
    <n v="39"/>
    <s v="Other Investments"/>
    <x v="33"/>
    <x v="3"/>
    <n v="0"/>
    <s v="Rishabh Nahar"/>
  </r>
  <r>
    <n v="40"/>
    <s v="Other Investments"/>
    <x v="34"/>
    <x v="0"/>
    <n v="13500000"/>
    <s v="Rishabh Nahar"/>
  </r>
  <r>
    <n v="41"/>
    <s v="FD"/>
    <x v="35"/>
    <x v="2"/>
    <n v="2500000"/>
    <s v="Rishabh Nahar"/>
  </r>
  <r>
    <n v="42"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x v="0"/>
    <x v="0"/>
    <n v="15368350"/>
  </r>
  <r>
    <n v="2"/>
    <s v="Other Investments"/>
    <x v="1"/>
    <x v="0"/>
    <n v="40685877"/>
  </r>
  <r>
    <n v="3"/>
    <m/>
    <x v="2"/>
    <x v="1"/>
    <m/>
  </r>
  <r>
    <n v="4"/>
    <s v="Other Investments"/>
    <x v="3"/>
    <x v="2"/>
    <n v="3000000"/>
  </r>
  <r>
    <n v="5"/>
    <m/>
    <x v="2"/>
    <x v="1"/>
    <m/>
  </r>
  <r>
    <n v="6"/>
    <m/>
    <x v="2"/>
    <x v="1"/>
    <m/>
  </r>
  <r>
    <n v="7"/>
    <s v="Prop Deposits"/>
    <x v="4"/>
    <x v="2"/>
    <n v="31500000"/>
  </r>
  <r>
    <n v="8"/>
    <s v="Prop Deposits"/>
    <x v="5"/>
    <x v="2"/>
    <n v="42915812"/>
  </r>
  <r>
    <n v="9"/>
    <s v="Other Investments"/>
    <x v="6"/>
    <x v="0"/>
    <n v="6092676"/>
  </r>
  <r>
    <n v="10"/>
    <s v="Other Investments"/>
    <x v="7"/>
    <x v="2"/>
    <n v="5881036"/>
  </r>
  <r>
    <n v="11"/>
    <s v="FD"/>
    <x v="8"/>
    <x v="3"/>
    <n v="1550293"/>
  </r>
  <r>
    <n v="12"/>
    <s v="FD"/>
    <x v="9"/>
    <x v="3"/>
    <n v="4287189"/>
  </r>
  <r>
    <n v="13"/>
    <s v="Other Investments"/>
    <x v="10"/>
    <x v="2"/>
    <n v="30312619.799999997"/>
  </r>
  <r>
    <n v="14"/>
    <s v="Other Investments"/>
    <x v="11"/>
    <x v="2"/>
    <n v="0"/>
  </r>
  <r>
    <n v="15"/>
    <s v="FD"/>
    <x v="12"/>
    <x v="2"/>
    <n v="23500000"/>
  </r>
  <r>
    <n v="16"/>
    <s v="Client Account"/>
    <x v="13"/>
    <x v="0"/>
    <n v="101285005.39802733"/>
  </r>
  <r>
    <n v="17"/>
    <s v="Client Account"/>
    <x v="14"/>
    <x v="0"/>
    <n v="0"/>
  </r>
  <r>
    <n v="18"/>
    <s v="Client Account"/>
    <x v="15"/>
    <x v="3"/>
    <n v="14852"/>
  </r>
  <r>
    <n v="19"/>
    <s v="Client Account"/>
    <x v="16"/>
    <x v="2"/>
    <n v="3946196.5210159998"/>
  </r>
  <r>
    <n v="20"/>
    <s v="Client Account"/>
    <x v="13"/>
    <x v="4"/>
    <n v="6163056"/>
  </r>
  <r>
    <n v="21"/>
    <s v="Client Account"/>
    <x v="17"/>
    <x v="0"/>
    <n v="4298337.5"/>
  </r>
  <r>
    <n v="22"/>
    <s v="Client Account"/>
    <x v="18"/>
    <x v="0"/>
    <n v="139245352.0488264"/>
  </r>
  <r>
    <n v="23"/>
    <s v="Client Account"/>
    <x v="19"/>
    <x v="2"/>
    <n v="156238618.09675092"/>
  </r>
  <r>
    <n v="24"/>
    <s v="Client Account"/>
    <x v="20"/>
    <x v="2"/>
    <n v="20087829.300000001"/>
  </r>
  <r>
    <n v="25"/>
    <s v="Client Account"/>
    <x v="21"/>
    <x v="3"/>
    <n v="185288687.27000001"/>
  </r>
  <r>
    <n v="26"/>
    <s v="Client Account"/>
    <x v="17"/>
    <x v="4"/>
    <n v="0"/>
  </r>
  <r>
    <n v="27"/>
    <s v="Prop Deposits"/>
    <x v="22"/>
    <x v="2"/>
    <n v="10200000"/>
  </r>
  <r>
    <n v="28"/>
    <s v="Prop Deposits"/>
    <x v="23"/>
    <x v="2"/>
    <n v="39226199"/>
  </r>
  <r>
    <n v="29"/>
    <m/>
    <x v="2"/>
    <x v="1"/>
    <m/>
  </r>
  <r>
    <n v="30"/>
    <s v="Prop Deposits"/>
    <x v="24"/>
    <x v="2"/>
    <n v="2625000"/>
  </r>
  <r>
    <n v="31"/>
    <s v="Prop Deposits"/>
    <x v="25"/>
    <x v="2"/>
    <n v="5591229.75"/>
  </r>
  <r>
    <n v="32"/>
    <s v="Prop Deposits"/>
    <x v="26"/>
    <x v="2"/>
    <n v="5128618.47"/>
  </r>
  <r>
    <n v="33"/>
    <s v="FD"/>
    <x v="27"/>
    <x v="2"/>
    <n v="48398458"/>
  </r>
  <r>
    <n v="34"/>
    <s v="Prop Deposits"/>
    <x v="28"/>
    <x v="2"/>
    <n v="0"/>
  </r>
  <r>
    <n v="35"/>
    <s v="FD"/>
    <x v="29"/>
    <x v="2"/>
    <n v="1000000"/>
  </r>
  <r>
    <n v="36"/>
    <s v="Prop Deposits"/>
    <x v="30"/>
    <x v="2"/>
    <n v="15169806"/>
  </r>
  <r>
    <n v="37"/>
    <s v="FD"/>
    <x v="31"/>
    <x v="2"/>
    <n v="0"/>
  </r>
  <r>
    <n v="38"/>
    <s v="FD"/>
    <x v="32"/>
    <x v="2"/>
    <n v="700000"/>
  </r>
  <r>
    <n v="39"/>
    <s v="Other Investments"/>
    <x v="33"/>
    <x v="3"/>
    <n v="0"/>
  </r>
  <r>
    <n v="40"/>
    <s v="Other Investments"/>
    <x v="34"/>
    <x v="0"/>
    <n v="13500000"/>
  </r>
  <r>
    <n v="41"/>
    <s v="FD"/>
    <x v="35"/>
    <x v="2"/>
    <n v="2500000"/>
  </r>
  <r>
    <n v="42"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Strategy">
  <location ref="AE32:AF82" firstHeaderRow="1" firstDataRow="1" firstDataCol="1"/>
  <pivotFields count="7">
    <pivotField showAll="0"/>
    <pivotField axis="axisRow" showAll="0">
      <items count="13">
        <item x="8"/>
        <item x="5"/>
        <item x="2"/>
        <item m="1" x="9"/>
        <item m="1" x="11"/>
        <item m="1" x="10"/>
        <item x="0"/>
        <item x="1"/>
        <item x="7"/>
        <item x="3"/>
        <item x="4"/>
        <item x="6"/>
        <item t="default"/>
      </items>
    </pivotField>
    <pivotField axis="axisRow" showAll="0">
      <items count="13">
        <item m="1" x="10"/>
        <item x="2"/>
        <item x="5"/>
        <item x="0"/>
        <item m="1" x="11"/>
        <item x="1"/>
        <item x="3"/>
        <item x="6"/>
        <item m="1" x="9"/>
        <item x="4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2">
    <field x="2"/>
    <field x="1"/>
  </rowFields>
  <rowItems count="50">
    <i>
      <x v="1"/>
    </i>
    <i r="1">
      <x v="6"/>
    </i>
    <i>
      <x v="2"/>
    </i>
    <i r="1">
      <x v="1"/>
    </i>
    <i r="1">
      <x v="2"/>
    </i>
    <i r="1">
      <x v="7"/>
    </i>
    <i r="1">
      <x v="9"/>
    </i>
    <i r="1">
      <x v="10"/>
    </i>
    <i>
      <x v="3"/>
    </i>
    <i r="1">
      <x/>
    </i>
    <i r="1">
      <x v="1"/>
    </i>
    <i r="1">
      <x v="2"/>
    </i>
    <i r="1">
      <x v="6"/>
    </i>
    <i r="1">
      <x v="7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6"/>
    </i>
    <i r="1">
      <x v="7"/>
    </i>
    <i r="1">
      <x v="9"/>
    </i>
    <i r="1">
      <x v="10"/>
    </i>
    <i r="1">
      <x v="11"/>
    </i>
    <i>
      <x v="6"/>
    </i>
    <i r="1">
      <x v="1"/>
    </i>
    <i r="1">
      <x v="2"/>
    </i>
    <i r="1">
      <x v="6"/>
    </i>
    <i r="1">
      <x v="7"/>
    </i>
    <i r="1">
      <x v="9"/>
    </i>
    <i r="1">
      <x v="10"/>
    </i>
    <i>
      <x v="7"/>
    </i>
    <i r="1">
      <x v="1"/>
    </i>
    <i r="1">
      <x v="2"/>
    </i>
    <i r="1">
      <x v="7"/>
    </i>
    <i r="1">
      <x v="9"/>
    </i>
    <i r="1">
      <x v="10"/>
    </i>
    <i>
      <x v="9"/>
    </i>
    <i r="1">
      <x v="1"/>
    </i>
    <i r="1">
      <x v="6"/>
    </i>
    <i r="1">
      <x v="9"/>
    </i>
    <i>
      <x v="10"/>
    </i>
    <i r="1">
      <x v="8"/>
    </i>
    <i>
      <x v="11"/>
    </i>
    <i r="1">
      <x v="2"/>
    </i>
    <i r="1">
      <x v="6"/>
    </i>
    <i r="1">
      <x v="9"/>
    </i>
    <i t="grand">
      <x/>
    </i>
  </rowItems>
  <colItems count="1">
    <i/>
  </colItems>
  <dataFields count="1">
    <dataField name="Sum of Net Exposure" fld="5" baseField="2" baseItem="0" numFmtId="166"/>
  </dataFields>
  <formats count="12">
    <format dxfId="142">
      <pivotArea field="2" type="button" dataOnly="0" labelOnly="1" outline="0" axis="axisRow" fieldPosition="0"/>
    </format>
    <format dxfId="141">
      <pivotArea dataOnly="0" labelOnly="1" outline="0" axis="axisValues" fieldPosition="0"/>
    </format>
    <format dxfId="140">
      <pivotArea field="2" type="button" dataOnly="0" labelOnly="1" outline="0" axis="axisRow" fieldPosition="0"/>
    </format>
    <format dxfId="139">
      <pivotArea dataOnly="0" labelOnly="1" outline="0" axis="axisValues" fieldPosition="0"/>
    </format>
    <format dxfId="138">
      <pivotArea field="2" type="button" dataOnly="0" labelOnly="1" outline="0" axis="axisRow" fieldPosition="0"/>
    </format>
    <format dxfId="137">
      <pivotArea dataOnly="0" labelOnly="1" outline="0" axis="axisValues" fieldPosition="0"/>
    </format>
    <format dxfId="136">
      <pivotArea field="2" type="button" dataOnly="0" labelOnly="1" outline="0" axis="axisRow" fieldPosition="0"/>
    </format>
    <format dxfId="135">
      <pivotArea dataOnly="0" labelOnly="1" outline="0" axis="axisValues" fieldPosition="0"/>
    </format>
    <format dxfId="134">
      <pivotArea field="2" type="button" dataOnly="0" labelOnly="1" outline="0" axis="axisRow" fieldPosition="0"/>
    </format>
    <format dxfId="133">
      <pivotArea dataOnly="0" labelOnly="1" outline="0" axis="axisValues" fieldPosition="0"/>
    </format>
    <format dxfId="132">
      <pivotArea outline="0" collapsedLevelsAreSubtotals="1" fieldPosition="0"/>
    </format>
    <format dxfId="13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E11:AG21" firstHeaderRow="0" firstDataRow="1" firstDataCol="1"/>
  <pivotFields count="7">
    <pivotField showAll="0"/>
    <pivotField showAll="0"/>
    <pivotField axis="axisRow" showAll="0">
      <items count="13">
        <item m="1" x="10"/>
        <item x="2"/>
        <item x="5"/>
        <item x="0"/>
        <item m="1" x="11"/>
        <item x="1"/>
        <item x="3"/>
        <item x="6"/>
        <item m="1" x="9"/>
        <item x="4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10">
    <i>
      <x v="1"/>
    </i>
    <i>
      <x v="2"/>
    </i>
    <i>
      <x v="3"/>
    </i>
    <i>
      <x v="5"/>
    </i>
    <i>
      <x v="6"/>
    </i>
    <i>
      <x v="7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Exposure" fld="5" baseField="2" baseItem="0" numFmtId="166"/>
    <dataField name="%" fld="5" showDataAs="percentOfTotal" baseField="2" baseItem="4" numFmtId="10"/>
  </dataFields>
  <formats count="75">
    <format dxfId="217">
      <pivotArea field="2" type="button" dataOnly="0" labelOnly="1" outline="0" axis="axisRow" fieldPosition="0"/>
    </format>
    <format dxfId="216">
      <pivotArea dataOnly="0" labelOnly="1" outline="0" axis="axisValues" fieldPosition="0"/>
    </format>
    <format dxfId="215">
      <pivotArea field="2" type="button" dataOnly="0" labelOnly="1" outline="0" axis="axisRow" fieldPosition="0"/>
    </format>
    <format dxfId="214">
      <pivotArea dataOnly="0" labelOnly="1" outline="0" axis="axisValues" fieldPosition="0"/>
    </format>
    <format dxfId="213">
      <pivotArea field="2" type="button" dataOnly="0" labelOnly="1" outline="0" axis="axisRow" fieldPosition="0"/>
    </format>
    <format dxfId="212">
      <pivotArea dataOnly="0" labelOnly="1" outline="0" axis="axisValues" fieldPosition="0"/>
    </format>
    <format dxfId="211">
      <pivotArea field="2" type="button" dataOnly="0" labelOnly="1" outline="0" axis="axisRow" fieldPosition="0"/>
    </format>
    <format dxfId="210">
      <pivotArea dataOnly="0" labelOnly="1" outline="0" axis="axisValues" fieldPosition="0"/>
    </format>
    <format dxfId="209">
      <pivotArea field="2" type="button" dataOnly="0" labelOnly="1" outline="0" axis="axisRow" fieldPosition="0"/>
    </format>
    <format dxfId="208">
      <pivotArea dataOnly="0" labelOnly="1" outline="0" axis="axisValues" fieldPosition="0"/>
    </format>
    <format dxfId="207">
      <pivotArea outline="0" collapsedLevelsAreSubtotals="1" fieldPosition="0"/>
    </format>
    <format dxfId="206">
      <pivotArea grandRow="1" outline="0" collapsedLevelsAreSubtotals="1" fieldPosition="0"/>
    </format>
    <format dxfId="205">
      <pivotArea dataOnly="0" labelOnly="1" grandRow="1" outline="0" fieldPosition="0"/>
    </format>
    <format dxfId="204">
      <pivotArea grandRow="1" outline="0" collapsedLevelsAreSubtotals="1" fieldPosition="0"/>
    </format>
    <format dxfId="203">
      <pivotArea dataOnly="0" labelOnly="1" grandRow="1" outline="0" fieldPosition="0"/>
    </format>
    <format dxfId="202">
      <pivotArea grandRow="1" outline="0" collapsedLevelsAreSubtotals="1" fieldPosition="0"/>
    </format>
    <format dxfId="201">
      <pivotArea dataOnly="0" labelOnly="1" grandRow="1" outline="0" fieldPosition="0"/>
    </format>
    <format dxfId="200">
      <pivotArea grandRow="1" outline="0" collapsedLevelsAreSubtotals="1" fieldPosition="0"/>
    </format>
    <format dxfId="199">
      <pivotArea dataOnly="0" labelOnly="1" grandRow="1" outline="0" fieldPosition="0"/>
    </format>
    <format dxfId="198">
      <pivotArea grandRow="1" outline="0" collapsedLevelsAreSubtotals="1" fieldPosition="0"/>
    </format>
    <format dxfId="197">
      <pivotArea dataOnly="0" labelOnly="1" grandRow="1" outline="0" fieldPosition="0"/>
    </format>
    <format dxfId="196">
      <pivotArea grandRow="1" outline="0" collapsedLevelsAreSubtotals="1" fieldPosition="0"/>
    </format>
    <format dxfId="195">
      <pivotArea dataOnly="0" labelOnly="1" grandRow="1" outline="0" fieldPosition="0"/>
    </format>
    <format dxfId="194">
      <pivotArea grandRow="1" outline="0" collapsedLevelsAreSubtotals="1" fieldPosition="0"/>
    </format>
    <format dxfId="193">
      <pivotArea dataOnly="0" labelOnly="1" grandRow="1" outline="0" fieldPosition="0"/>
    </format>
    <format dxfId="192">
      <pivotArea grandRow="1" outline="0" collapsedLevelsAreSubtotals="1" fieldPosition="0"/>
    </format>
    <format dxfId="191">
      <pivotArea dataOnly="0" labelOnly="1" grandRow="1" outline="0" fieldPosition="0"/>
    </format>
    <format dxfId="190">
      <pivotArea grandRow="1" outline="0" collapsedLevelsAreSubtotals="1" fieldPosition="0"/>
    </format>
    <format dxfId="189">
      <pivotArea dataOnly="0" labelOnly="1" grandRow="1" outline="0" fieldPosition="0"/>
    </format>
    <format dxfId="188">
      <pivotArea grandRow="1" outline="0" collapsedLevelsAreSubtotals="1" fieldPosition="0"/>
    </format>
    <format dxfId="187">
      <pivotArea dataOnly="0" labelOnly="1" grandRow="1" outline="0" fieldPosition="0"/>
    </format>
    <format dxfId="186">
      <pivotArea grandRow="1" outline="0" collapsedLevelsAreSubtotals="1" fieldPosition="0"/>
    </format>
    <format dxfId="185">
      <pivotArea dataOnly="0" labelOnly="1" grandRow="1" outline="0" fieldPosition="0"/>
    </format>
    <format dxfId="184">
      <pivotArea outline="0" fieldPosition="0">
        <references count="1">
          <reference field="4294967294" count="1">
            <x v="1"/>
          </reference>
        </references>
      </pivotArea>
    </format>
    <format dxfId="183">
      <pivotArea field="2" type="button" dataOnly="0" labelOnly="1" outline="0" axis="axisRow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1">
      <pivotArea field="2" type="button" dataOnly="0" labelOnly="1" outline="0" axis="axisRow" fieldPosition="0"/>
    </format>
    <format dxfId="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">
      <pivotArea field="2" type="button" dataOnly="0" labelOnly="1" outline="0" axis="axisRow" fieldPosition="0"/>
    </format>
    <format dxfId="1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7">
      <pivotArea field="2" type="button" dataOnly="0" labelOnly="1" outline="0" axis="axisRow" fieldPosition="0"/>
    </format>
    <format dxfId="1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">
      <pivotArea field="2" type="button" dataOnly="0" labelOnly="1" outline="0" axis="axisRow" fieldPosition="0"/>
    </format>
    <format dxfId="1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">
      <pivotArea field="2" type="button" dataOnly="0" labelOnly="1" outline="0" axis="axisRow" fieldPosition="0"/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">
      <pivotArea field="2" type="button" dataOnly="0" labelOnly="1" outline="0" axis="axisRow" fieldPosition="0"/>
    </format>
    <format dxfId="1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">
      <pivotArea field="2" type="button" dataOnly="0" labelOnly="1" outline="0" axis="axisRow" fieldPosition="0"/>
    </format>
    <format dxfId="1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7">
      <pivotArea field="2" type="button" dataOnly="0" labelOnly="1" outline="0" axis="axisRow" fieldPosition="0"/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">
      <pivotArea field="2" type="button" dataOnly="0" labelOnly="1" outline="0" axis="axisRow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field="2" type="button" dataOnly="0" labelOnly="1" outline="0" axis="axisRow" fieldPosition="0"/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field="2" type="button" dataOnly="0" labelOnly="1" outline="0" axis="axisRow" fieldPosition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9">
      <pivotArea field="2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field="2" type="button" dataOnly="0" labelOnly="1" outline="0" axis="axisRow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field="2" type="button" dataOnly="0" labelOnly="1" outline="0" axis="axisRow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field="2" type="button" dataOnly="0" labelOnly="1" outline="0" axis="axisRow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1">
      <pivotArea field="2" type="button" dataOnly="0" labelOnly="1" outline="0" axis="axisRow" fieldPosition="0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9">
      <pivotArea field="2" type="button" dataOnly="0" labelOnly="1" outline="0" axis="axisRow" fieldPosition="0"/>
    </format>
    <format dxfId="1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field="2" type="button" dataOnly="0" labelOnly="1" outline="0" axis="axisRow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5">
      <pivotArea field="2" type="button" dataOnly="0" labelOnly="1" outline="0" axis="axisRow" fieldPosition="0"/>
    </format>
    <format dxfId="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Account">
  <location ref="V41:Y50" firstHeaderRow="0" firstDataRow="1" firstDataCol="1" rowPageCount="1" colPageCount="1"/>
  <pivotFields count="9">
    <pivotField showAll="0"/>
    <pivotField axis="axisRow" showAll="0">
      <items count="13">
        <item x="8"/>
        <item x="5"/>
        <item x="2"/>
        <item m="1" x="9"/>
        <item m="1" x="11"/>
        <item m="1" x="10"/>
        <item x="0"/>
        <item x="1"/>
        <item x="7"/>
        <item x="3"/>
        <item x="4"/>
        <item x="6"/>
        <item t="default"/>
      </items>
    </pivotField>
    <pivotField axis="axisPage" multipleItemSelectionAllowed="1" showAll="0">
      <items count="13">
        <item h="1" m="1" x="9"/>
        <item h="1" x="2"/>
        <item h="1" x="5"/>
        <item h="1" x="0"/>
        <item h="1" m="1" x="10"/>
        <item x="1"/>
        <item h="1" x="3"/>
        <item h="1" x="6"/>
        <item h="1" m="1" x="11"/>
        <item h="1" x="4"/>
        <item h="1" x="7"/>
        <item h="1" x="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6"/>
    </i>
    <i>
      <x v="7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Portfolio Value" fld="4" baseField="0" baseItem="11530152" numFmtId="166"/>
    <dataField name="Psar Multiplier" fld="3" baseField="1" baseItem="0" numFmtId="168"/>
    <dataField name="Total Exposure" fld="5" baseField="1" baseItem="0" numFmtId="166"/>
  </dataFields>
  <formats count="49">
    <format dxfId="266">
      <pivotArea field="2" type="button" dataOnly="0" labelOnly="1" outline="0" axis="axisPage" fieldPosition="0"/>
    </format>
    <format dxfId="265">
      <pivotArea dataOnly="0" labelOnly="1" outline="0" fieldPosition="0">
        <references count="1">
          <reference field="2" count="0"/>
        </references>
      </pivotArea>
    </format>
    <format dxfId="264">
      <pivotArea field="2" type="button" dataOnly="0" labelOnly="1" outline="0" axis="axisPage" fieldPosition="0"/>
    </format>
    <format dxfId="263">
      <pivotArea dataOnly="0" labelOnly="1" outline="0" fieldPosition="0">
        <references count="1">
          <reference field="2" count="0"/>
        </references>
      </pivotArea>
    </format>
    <format dxfId="262">
      <pivotArea field="2" type="button" dataOnly="0" labelOnly="1" outline="0" axis="axisPage" fieldPosition="0"/>
    </format>
    <format dxfId="261">
      <pivotArea dataOnly="0" labelOnly="1" outline="0" fieldPosition="0">
        <references count="1">
          <reference field="2" count="0"/>
        </references>
      </pivotArea>
    </format>
    <format dxfId="260">
      <pivotArea field="2" type="button" dataOnly="0" labelOnly="1" outline="0" axis="axisPage" fieldPosition="0"/>
    </format>
    <format dxfId="259">
      <pivotArea dataOnly="0" labelOnly="1" outline="0" fieldPosition="0">
        <references count="1">
          <reference field="2" count="0"/>
        </references>
      </pivotArea>
    </format>
    <format dxfId="258">
      <pivotArea field="2" type="button" dataOnly="0" labelOnly="1" outline="0" axis="axisPage" fieldPosition="0"/>
    </format>
    <format dxfId="257">
      <pivotArea dataOnly="0" labelOnly="1" outline="0" fieldPosition="0">
        <references count="1">
          <reference field="2" count="0"/>
        </references>
      </pivotArea>
    </format>
    <format dxfId="256">
      <pivotArea field="1" type="button" dataOnly="0" labelOnly="1" outline="0" axis="axisRow" fieldPosition="0"/>
    </format>
    <format dxfId="2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4">
      <pivotArea field="1" type="button" dataOnly="0" labelOnly="1" outline="0" axis="axisRow" fieldPosition="0"/>
    </format>
    <format dxfId="2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2">
      <pivotArea field="1" type="button" dataOnly="0" labelOnly="1" outline="0" axis="axisRow" fieldPosition="0"/>
    </format>
    <format dxfId="2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0">
      <pivotArea field="1" type="button" dataOnly="0" labelOnly="1" outline="0" axis="axisRow" fieldPosition="0"/>
    </format>
    <format dxfId="2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8">
      <pivotArea field="1" type="button" dataOnly="0" labelOnly="1" outline="0" axis="axisRow" fieldPosition="0"/>
    </format>
    <format dxfId="2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0">
      <pivotArea grandRow="1" outline="0" collapsedLevelsAreSubtotals="1" fieldPosition="0"/>
    </format>
    <format dxfId="239">
      <pivotArea dataOnly="0" labelOnly="1" grandRow="1" outline="0" fieldPosition="0"/>
    </format>
    <format dxfId="238">
      <pivotArea grandRow="1" outline="0" collapsedLevelsAreSubtotals="1" fieldPosition="0"/>
    </format>
    <format dxfId="237">
      <pivotArea dataOnly="0" labelOnly="1" grandRow="1" outline="0" fieldPosition="0"/>
    </format>
    <format dxfId="236">
      <pivotArea grandRow="1" outline="0" collapsedLevelsAreSubtotals="1" fieldPosition="0"/>
    </format>
    <format dxfId="235">
      <pivotArea dataOnly="0" labelOnly="1" grandRow="1" outline="0" fieldPosition="0"/>
    </format>
    <format dxfId="234">
      <pivotArea grandRow="1" outline="0" collapsedLevelsAreSubtotals="1" fieldPosition="0"/>
    </format>
    <format dxfId="233">
      <pivotArea dataOnly="0" labelOnly="1" grandRow="1" outline="0" fieldPosition="0"/>
    </format>
    <format dxfId="232">
      <pivotArea grandRow="1" outline="0" collapsedLevelsAreSubtotals="1" fieldPosition="0"/>
    </format>
    <format dxfId="231">
      <pivotArea dataOnly="0" labelOnly="1" grandRow="1" outline="0" fieldPosition="0"/>
    </format>
    <format dxfId="230">
      <pivotArea grandRow="1" outline="0" collapsedLevelsAreSubtotals="1" fieldPosition="0"/>
    </format>
    <format dxfId="229">
      <pivotArea dataOnly="0" labelOnly="1" grandRow="1" outline="0" fieldPosition="0"/>
    </format>
    <format dxfId="228">
      <pivotArea grandRow="1" outline="0" collapsedLevelsAreSubtotals="1" fieldPosition="0"/>
    </format>
    <format dxfId="227">
      <pivotArea dataOnly="0" labelOnly="1" grandRow="1" outline="0" fieldPosition="0"/>
    </format>
    <format dxfId="226">
      <pivotArea grandRow="1" outline="0" collapsedLevelsAreSubtotals="1" fieldPosition="0"/>
    </format>
    <format dxfId="225">
      <pivotArea dataOnly="0" labelOnly="1" grandRow="1" outline="0" fieldPosition="0"/>
    </format>
    <format dxfId="224">
      <pivotArea grandRow="1" outline="0" collapsedLevelsAreSubtotals="1" fieldPosition="0"/>
    </format>
    <format dxfId="223">
      <pivotArea dataOnly="0" labelOnly="1" grandRow="1" outline="0" fieldPosition="0"/>
    </format>
    <format dxfId="222">
      <pivotArea grandRow="1" outline="0" collapsedLevelsAreSubtotals="1" fieldPosition="0"/>
    </format>
    <format dxfId="221">
      <pivotArea dataOnly="0" labelOnly="1" grandRow="1" outline="0" fieldPosition="0"/>
    </format>
    <format dxfId="220">
      <pivotArea grandRow="1" outline="0" collapsedLevelsAreSubtotals="1" fieldPosition="0"/>
    </format>
    <format dxfId="219">
      <pivotArea dataOnly="0" labelOnly="1" grandRow="1" outline="0" fieldPosition="0"/>
    </format>
    <format dxfId="21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S21:AU44" firstHeaderRow="0" firstDataRow="1" firstDataCol="1" rowPageCount="1" colPageCount="1"/>
  <pivotFields count="5">
    <pivotField showAll="0"/>
    <pivotField showAll="0"/>
    <pivotField axis="axisRow" showAll="0">
      <items count="48">
        <item x="25"/>
        <item x="4"/>
        <item m="1" x="43"/>
        <item m="1" x="38"/>
        <item m="1" x="37"/>
        <item x="12"/>
        <item m="1" x="46"/>
        <item x="9"/>
        <item x="8"/>
        <item x="11"/>
        <item m="1" x="44"/>
        <item x="3"/>
        <item m="1" x="45"/>
        <item m="1" x="39"/>
        <item x="6"/>
        <item x="0"/>
        <item x="7"/>
        <item x="10"/>
        <item m="1" x="40"/>
        <item x="21"/>
        <item x="19"/>
        <item x="17"/>
        <item x="18"/>
        <item x="20"/>
        <item x="15"/>
        <item x="13"/>
        <item x="14"/>
        <item x="2"/>
        <item x="16"/>
        <item x="26"/>
        <item x="27"/>
        <item m="1" x="41"/>
        <item x="1"/>
        <item x="28"/>
        <item x="5"/>
        <item x="22"/>
        <item x="23"/>
        <item m="1" x="42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axis="axisPage" multipleItemSelectionAllowed="1" showAll="0">
      <items count="6">
        <item h="1" x="3"/>
        <item x="2"/>
        <item h="1" x="0"/>
        <item h="1" x="1"/>
        <item h="1" x="4"/>
        <item t="default"/>
      </items>
    </pivotField>
    <pivotField dataField="1" showAll="0"/>
  </pivotFields>
  <rowFields count="1">
    <field x="2"/>
  </rowFields>
  <rowItems count="23">
    <i>
      <x/>
    </i>
    <i>
      <x v="1"/>
    </i>
    <i>
      <x v="5"/>
    </i>
    <i>
      <x v="9"/>
    </i>
    <i>
      <x v="11"/>
    </i>
    <i>
      <x v="16"/>
    </i>
    <i>
      <x v="17"/>
    </i>
    <i>
      <x v="20"/>
    </i>
    <i>
      <x v="23"/>
    </i>
    <i>
      <x v="28"/>
    </i>
    <i>
      <x v="29"/>
    </i>
    <i>
      <x v="30"/>
    </i>
    <i>
      <x v="33"/>
    </i>
    <i>
      <x v="34"/>
    </i>
    <i>
      <x v="35"/>
    </i>
    <i>
      <x v="36"/>
    </i>
    <i>
      <x v="39"/>
    </i>
    <i>
      <x v="40"/>
    </i>
    <i>
      <x v="41"/>
    </i>
    <i>
      <x v="42"/>
    </i>
    <i>
      <x v="43"/>
    </i>
    <i>
      <x v="4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Value" fld="4" baseField="0" baseItem="8057144" numFmtId="166"/>
    <dataField name="%" fld="4" showDataAs="percentOfTotal" baseField="0" baseItem="1" numFmtId="10"/>
  </dataFields>
  <formats count="31">
    <format dxfId="2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6">
      <pivotArea field="2" type="button" dataOnly="0" labelOnly="1" outline="0" axis="axisRow" fieldPosition="0"/>
    </format>
    <format dxfId="2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4">
      <pivotArea field="2" type="button" dataOnly="0" labelOnly="1" outline="0" axis="axisRow" fieldPosition="0"/>
    </format>
    <format dxfId="2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2">
      <pivotArea field="2" type="button" dataOnly="0" labelOnly="1" outline="0" axis="axisRow" fieldPosition="0"/>
    </format>
    <format dxfId="2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0">
      <pivotArea field="2" type="button" dataOnly="0" labelOnly="1" outline="0" axis="axisRow" fieldPosition="0"/>
    </format>
    <format dxfId="2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8">
      <pivotArea field="2" type="button" dataOnly="0" labelOnly="1" outline="0" axis="axisRow" fieldPosition="0"/>
    </format>
    <format dxfId="2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5">
      <pivotArea grandRow="1" outline="0" collapsedLevelsAreSubtotals="1" fieldPosition="0"/>
    </format>
    <format dxfId="284">
      <pivotArea dataOnly="0" labelOnly="1" grandRow="1" outline="0" fieldPosition="0"/>
    </format>
    <format dxfId="283">
      <pivotArea grandRow="1" outline="0" collapsedLevelsAreSubtotals="1" fieldPosition="0"/>
    </format>
    <format dxfId="282">
      <pivotArea dataOnly="0" labelOnly="1" grandRow="1" outline="0" fieldPosition="0"/>
    </format>
    <format dxfId="281">
      <pivotArea grandRow="1" outline="0" collapsedLevelsAreSubtotals="1" fieldPosition="0"/>
    </format>
    <format dxfId="280">
      <pivotArea dataOnly="0" labelOnly="1" grandRow="1" outline="0" fieldPosition="0"/>
    </format>
    <format dxfId="279">
      <pivotArea grandRow="1" outline="0" collapsedLevelsAreSubtotals="1" fieldPosition="0"/>
    </format>
    <format dxfId="278">
      <pivotArea dataOnly="0" labelOnly="1" grandRow="1" outline="0" fieldPosition="0"/>
    </format>
    <format dxfId="277">
      <pivotArea grandRow="1" outline="0" collapsedLevelsAreSubtotals="1" fieldPosition="0"/>
    </format>
    <format dxfId="276">
      <pivotArea dataOnly="0" labelOnly="1" grandRow="1" outline="0" fieldPosition="0"/>
    </format>
    <format dxfId="275">
      <pivotArea grandRow="1" outline="0" collapsedLevelsAreSubtotals="1" fieldPosition="0"/>
    </format>
    <format dxfId="274">
      <pivotArea dataOnly="0" labelOnly="1" grandRow="1" outline="0" fieldPosition="0"/>
    </format>
    <format dxfId="273">
      <pivotArea grandRow="1" outline="0" collapsedLevelsAreSubtotals="1" fieldPosition="0"/>
    </format>
    <format dxfId="272">
      <pivotArea dataOnly="0" labelOnly="1" grandRow="1" outline="0" fieldPosition="0"/>
    </format>
    <format dxfId="271">
      <pivotArea grandRow="1" outline="0" collapsedLevelsAreSubtotals="1" fieldPosition="0"/>
    </format>
    <format dxfId="270">
      <pivotArea dataOnly="0" labelOnly="1" grandRow="1" outline="0" fieldPosition="0"/>
    </format>
    <format dxfId="269">
      <pivotArea grandRow="1" outline="0" collapsedLevelsAreSubtotals="1" fieldPosition="0"/>
    </format>
    <format dxfId="268">
      <pivotArea dataOnly="0" labelOnly="1" grandRow="1" outline="0" fieldPosition="0"/>
    </format>
    <format dxfId="26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N41:AP47" firstHeaderRow="0" firstDataRow="1" firstDataCol="1" rowPageCount="1" colPageCount="1"/>
  <pivotFields count="6">
    <pivotField showAll="0"/>
    <pivotField showAll="0"/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axis="axisPage" multipleItemSelectionAllowed="1" showAll="0">
      <items count="6">
        <item x="3"/>
        <item h="1" x="2"/>
        <item h="1" x="0"/>
        <item h="1" x="4"/>
        <item h="1" x="1"/>
        <item t="default"/>
      </items>
    </pivotField>
    <pivotField dataField="1" showAll="0"/>
    <pivotField showAll="0"/>
  </pivotFields>
  <rowFields count="1">
    <field x="2"/>
  </rowFields>
  <rowItems count="6">
    <i>
      <x v="8"/>
    </i>
    <i>
      <x v="9"/>
    </i>
    <i>
      <x v="22"/>
    </i>
    <i>
      <x v="27"/>
    </i>
    <i>
      <x v="4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Value" fld="4" baseField="0" baseItem="14479128" numFmtId="166"/>
    <dataField name="%" fld="4" showDataAs="percentOfTotal" baseField="0" baseItem="1" numFmtId="10"/>
  </dataFields>
  <formats count="59">
    <format dxfId="356">
      <pivotArea field="2" type="button" dataOnly="0" labelOnly="1" outline="0" axis="axisRow" fieldPosition="0"/>
    </format>
    <format dxfId="3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4">
      <pivotArea field="2" type="button" dataOnly="0" labelOnly="1" outline="0" axis="axisRow" fieldPosition="0"/>
    </format>
    <format dxfId="3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2">
      <pivotArea field="2" type="button" dataOnly="0" labelOnly="1" outline="0" axis="axisRow" fieldPosition="0"/>
    </format>
    <format dxfId="3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0">
      <pivotArea field="2" type="button" dataOnly="0" labelOnly="1" outline="0" axis="axisRow" fieldPosition="0"/>
    </format>
    <format dxfId="3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8">
      <pivotArea field="2" type="button" dataOnly="0" labelOnly="1" outline="0" axis="axisRow" fieldPosition="0"/>
    </format>
    <format dxfId="3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">
      <pivotArea field="2" type="button" dataOnly="0" labelOnly="1" outline="0" axis="axisRow" fieldPosition="0"/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4">
      <pivotArea grandRow="1" outline="0" collapsedLevelsAreSubtotals="1" fieldPosition="0"/>
    </format>
    <format dxfId="343">
      <pivotArea dataOnly="0" labelOnly="1" grandRow="1" outline="0" fieldPosition="0"/>
    </format>
    <format dxfId="342">
      <pivotArea grandRow="1" outline="0" collapsedLevelsAreSubtotals="1" fieldPosition="0"/>
    </format>
    <format dxfId="341">
      <pivotArea dataOnly="0" labelOnly="1" grandRow="1" outline="0" fieldPosition="0"/>
    </format>
    <format dxfId="340">
      <pivotArea grandRow="1" outline="0" collapsedLevelsAreSubtotals="1" fieldPosition="0"/>
    </format>
    <format dxfId="339">
      <pivotArea dataOnly="0" labelOnly="1" grandRow="1" outline="0" fieldPosition="0"/>
    </format>
    <format dxfId="338">
      <pivotArea grandRow="1" outline="0" collapsedLevelsAreSubtotals="1" fieldPosition="0"/>
    </format>
    <format dxfId="337">
      <pivotArea dataOnly="0" labelOnly="1" grandRow="1" outline="0" fieldPosition="0"/>
    </format>
    <format dxfId="336">
      <pivotArea grandRow="1" outline="0" collapsedLevelsAreSubtotals="1" fieldPosition="0"/>
    </format>
    <format dxfId="335">
      <pivotArea dataOnly="0" labelOnly="1" grandRow="1" outline="0" fieldPosition="0"/>
    </format>
    <format dxfId="334">
      <pivotArea grandRow="1" outline="0" collapsedLevelsAreSubtotals="1" fieldPosition="0"/>
    </format>
    <format dxfId="333">
      <pivotArea dataOnly="0" labelOnly="1" grandRow="1" outline="0" fieldPosition="0"/>
    </format>
    <format dxfId="332">
      <pivotArea grandRow="1" outline="0" collapsedLevelsAreSubtotals="1" fieldPosition="0"/>
    </format>
    <format dxfId="331">
      <pivotArea dataOnly="0" labelOnly="1" grandRow="1" outline="0" fieldPosition="0"/>
    </format>
    <format dxfId="330">
      <pivotArea grandRow="1" outline="0" collapsedLevelsAreSubtotals="1" fieldPosition="0"/>
    </format>
    <format dxfId="329">
      <pivotArea dataOnly="0" labelOnly="1" grandRow="1" outline="0" fieldPosition="0"/>
    </format>
    <format dxfId="328">
      <pivotArea grandRow="1" outline="0" collapsedLevelsAreSubtotals="1" fieldPosition="0"/>
    </format>
    <format dxfId="327">
      <pivotArea dataOnly="0" labelOnly="1" grandRow="1" outline="0" fieldPosition="0"/>
    </format>
    <format dxfId="326">
      <pivotArea grandRow="1" outline="0" collapsedLevelsAreSubtotals="1" fieldPosition="0"/>
    </format>
    <format dxfId="325">
      <pivotArea dataOnly="0" labelOnly="1" grandRow="1" outline="0" fieldPosition="0"/>
    </format>
    <format dxfId="324">
      <pivotArea grandRow="1" outline="0" collapsedLevelsAreSubtotals="1" fieldPosition="0"/>
    </format>
    <format dxfId="323">
      <pivotArea dataOnly="0" labelOnly="1" grandRow="1" outline="0" fieldPosition="0"/>
    </format>
    <format dxfId="322">
      <pivotArea grandRow="1" outline="0" collapsedLevelsAreSubtotals="1" fieldPosition="0"/>
    </format>
    <format dxfId="321">
      <pivotArea dataOnly="0" labelOnly="1" grandRow="1" outline="0" fieldPosition="0"/>
    </format>
    <format dxfId="320">
      <pivotArea grandRow="1" outline="0" collapsedLevelsAreSubtotals="1" fieldPosition="0"/>
    </format>
    <format dxfId="319">
      <pivotArea dataOnly="0" labelOnly="1" grandRow="1" outline="0" fieldPosition="0"/>
    </format>
    <format dxfId="318">
      <pivotArea grandRow="1" outline="0" collapsedLevelsAreSubtotals="1" fieldPosition="0"/>
    </format>
    <format dxfId="317">
      <pivotArea dataOnly="0" labelOnly="1" grandRow="1" outline="0" fieldPosition="0"/>
    </format>
    <format dxfId="316">
      <pivotArea grandRow="1" outline="0" collapsedLevelsAreSubtotals="1" fieldPosition="0"/>
    </format>
    <format dxfId="315">
      <pivotArea dataOnly="0" labelOnly="1" grandRow="1" outline="0" fieldPosition="0"/>
    </format>
    <format dxfId="314">
      <pivotArea grandRow="1" outline="0" collapsedLevelsAreSubtotals="1" fieldPosition="0"/>
    </format>
    <format dxfId="313">
      <pivotArea dataOnly="0" labelOnly="1" grandRow="1" outline="0" fieldPosition="0"/>
    </format>
    <format dxfId="312">
      <pivotArea grandRow="1" outline="0" collapsedLevelsAreSubtotals="1" fieldPosition="0"/>
    </format>
    <format dxfId="311">
      <pivotArea dataOnly="0" labelOnly="1" grandRow="1" outline="0" fieldPosition="0"/>
    </format>
    <format dxfId="310">
      <pivotArea grandRow="1" outline="0" collapsedLevelsAreSubtotals="1" fieldPosition="0"/>
    </format>
    <format dxfId="309">
      <pivotArea dataOnly="0" labelOnly="1" grandRow="1" outline="0" fieldPosition="0"/>
    </format>
    <format dxfId="308">
      <pivotArea grandRow="1" outline="0" collapsedLevelsAreSubtotals="1" fieldPosition="0"/>
    </format>
    <format dxfId="307">
      <pivotArea dataOnly="0" labelOnly="1" grandRow="1" outline="0" fieldPosition="0"/>
    </format>
    <format dxfId="306">
      <pivotArea grandRow="1" outline="0" collapsedLevelsAreSubtotals="1" fieldPosition="0"/>
    </format>
    <format dxfId="305">
      <pivotArea dataOnly="0" labelOnly="1" grandRow="1" outline="0" fieldPosition="0"/>
    </format>
    <format dxfId="304">
      <pivotArea grandRow="1" outline="0" collapsedLevelsAreSubtotals="1" fieldPosition="0"/>
    </format>
    <format dxfId="303">
      <pivotArea dataOnly="0" labelOnly="1" grandRow="1" outline="0" fieldPosition="0"/>
    </format>
    <format dxfId="302">
      <pivotArea grandRow="1" outline="0" collapsedLevelsAreSubtotals="1" fieldPosition="0"/>
    </format>
    <format dxfId="301">
      <pivotArea dataOnly="0" labelOnly="1" grandRow="1" outline="0" fieldPosition="0"/>
    </format>
    <format dxfId="300">
      <pivotArea grandRow="1" outline="0" collapsedLevelsAreSubtotals="1" fieldPosition="0"/>
    </format>
    <format dxfId="299">
      <pivotArea dataOnly="0" labelOnly="1" grandRow="1" outline="0" fieldPosition="0"/>
    </format>
    <format dxfId="2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B23:D54" firstHeaderRow="0" firstDataRow="1" firstDataCol="1" rowPageCount="1" colPageCount="1"/>
  <pivotFields count="6"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name="Account" axis="axisPage" multipleItemSelectionAllowed="1" showAll="0">
      <items count="5">
        <item h="1" x="2"/>
        <item x="0"/>
        <item h="1" x="1"/>
        <item h="1" x="3"/>
        <item t="default"/>
      </items>
    </pivotField>
  </pivotFields>
  <rowFields count="2">
    <field x="1"/>
    <field x="2"/>
  </rowFields>
  <rowItems count="31">
    <i>
      <x/>
    </i>
    <i r="1">
      <x v="27"/>
    </i>
    <i r="1">
      <x v="28"/>
    </i>
    <i r="1">
      <x v="29"/>
    </i>
    <i r="1">
      <x v="30"/>
    </i>
    <i>
      <x v="1"/>
    </i>
    <i r="1">
      <x v="6"/>
    </i>
    <i r="1">
      <x v="9"/>
    </i>
    <i r="1">
      <x v="10"/>
    </i>
    <i r="1">
      <x v="40"/>
    </i>
    <i r="1">
      <x v="41"/>
    </i>
    <i r="1">
      <x v="44"/>
    </i>
    <i>
      <x v="2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42"/>
    </i>
    <i r="1">
      <x v="43"/>
    </i>
    <i>
      <x v="3"/>
    </i>
    <i r="1">
      <x/>
    </i>
    <i r="1">
      <x v="1"/>
    </i>
    <i r="1">
      <x v="32"/>
    </i>
    <i r="1">
      <x v="33"/>
    </i>
    <i r="1">
      <x v="34"/>
    </i>
    <i r="1">
      <x v="37"/>
    </i>
    <i r="1">
      <x v="39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Total Value" fld="4" baseField="0" baseItem="11530152" numFmtId="166"/>
    <dataField name="%" fld="4" showDataAs="percentOfTotal" baseField="0" baseItem="1" numFmtId="10"/>
  </dataFields>
  <formats count="38">
    <format dxfId="394">
      <pivotArea field="5" type="button" dataOnly="0" labelOnly="1" outline="0" axis="axisPage" fieldPosition="0"/>
    </format>
    <format dxfId="393">
      <pivotArea dataOnly="0" labelOnly="1" outline="0" fieldPosition="0">
        <references count="1">
          <reference field="5" count="0"/>
        </references>
      </pivotArea>
    </format>
    <format dxfId="392">
      <pivotArea field="5" type="button" dataOnly="0" labelOnly="1" outline="0" axis="axisPage" fieldPosition="0"/>
    </format>
    <format dxfId="391">
      <pivotArea dataOnly="0" labelOnly="1" outline="0" fieldPosition="0">
        <references count="1">
          <reference field="5" count="0"/>
        </references>
      </pivotArea>
    </format>
    <format dxfId="390">
      <pivotArea field="5" type="button" dataOnly="0" labelOnly="1" outline="0" axis="axisPage" fieldPosition="0"/>
    </format>
    <format dxfId="389">
      <pivotArea dataOnly="0" labelOnly="1" outline="0" fieldPosition="0">
        <references count="1">
          <reference field="5" count="0"/>
        </references>
      </pivotArea>
    </format>
    <format dxfId="388">
      <pivotArea field="5" type="button" dataOnly="0" labelOnly="1" outline="0" axis="axisPage" fieldPosition="0"/>
    </format>
    <format dxfId="387">
      <pivotArea dataOnly="0" labelOnly="1" outline="0" fieldPosition="0">
        <references count="1">
          <reference field="5" count="0"/>
        </references>
      </pivotArea>
    </format>
    <format dxfId="386">
      <pivotArea field="5" type="button" dataOnly="0" labelOnly="1" outline="0" axis="axisPage" fieldPosition="0"/>
    </format>
    <format dxfId="385">
      <pivotArea dataOnly="0" labelOnly="1" outline="0" fieldPosition="0">
        <references count="1">
          <reference field="5" count="0"/>
        </references>
      </pivotArea>
    </format>
    <format dxfId="384">
      <pivotArea field="1" type="button" dataOnly="0" labelOnly="1" outline="0" axis="axisRow" fieldPosition="0"/>
    </format>
    <format dxfId="3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2">
      <pivotArea field="1" type="button" dataOnly="0" labelOnly="1" outline="0" axis="axisRow" fieldPosition="0"/>
    </format>
    <format dxfId="3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0">
      <pivotArea field="1" type="button" dataOnly="0" labelOnly="1" outline="0" axis="axisRow" fieldPosition="0"/>
    </format>
    <format dxfId="3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8">
      <pivotArea field="1" type="button" dataOnly="0" labelOnly="1" outline="0" axis="axisRow" fieldPosition="0"/>
    </format>
    <format dxfId="3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6">
      <pivotArea field="1" type="button" dataOnly="0" labelOnly="1" outline="0" axis="axisRow" fieldPosition="0"/>
    </format>
    <format dxfId="3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4">
      <pivotArea field="1" type="button" dataOnly="0" labelOnly="1" outline="0" axis="axisRow" fieldPosition="0"/>
    </format>
    <format dxfId="3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2">
      <pivotArea field="1" type="button" dataOnly="0" labelOnly="1" outline="0" axis="axisRow" fieldPosition="0"/>
    </format>
    <format dxfId="3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0">
      <pivotArea field="1" type="button" dataOnly="0" labelOnly="1" outline="0" axis="axisRow" fieldPosition="0"/>
    </format>
    <format dxfId="3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8">
      <pivotArea field="1" type="button" dataOnly="0" labelOnly="1" outline="0" axis="axisRow" fieldPosition="0"/>
    </format>
    <format dxfId="3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6">
      <pivotArea field="1" type="button" dataOnly="0" labelOnly="1" outline="0" axis="axisRow" fieldPosition="0"/>
    </format>
    <format dxfId="3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4">
      <pivotArea field="1" type="button" dataOnly="0" labelOnly="1" outline="0" axis="axisRow" fieldPosition="0"/>
    </format>
    <format dxfId="3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2">
      <pivotArea field="1" type="button" dataOnly="0" labelOnly="1" outline="0" axis="axisRow" fieldPosition="0"/>
    </format>
    <format dxfId="3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0">
      <pivotArea field="5" type="button" dataOnly="0" labelOnly="1" outline="0" axis="axisPage" fieldPosition="0"/>
    </format>
    <format dxfId="359">
      <pivotArea dataOnly="0" labelOnly="1" outline="0" fieldPosition="0">
        <references count="1">
          <reference field="5" count="0"/>
        </references>
      </pivotArea>
    </format>
    <format dxfId="3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F23:H35" firstHeaderRow="0" firstDataRow="1" firstDataCol="1" rowPageCount="1" colPageCount="1"/>
  <pivotFields count="6"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name="Account" axis="axisPage" multipleItemSelectionAllowed="1" showAll="0">
      <items count="5">
        <item x="2"/>
        <item h="1" x="0"/>
        <item h="1" x="1"/>
        <item h="1" x="3"/>
        <item t="default"/>
      </items>
    </pivotField>
  </pivotFields>
  <rowFields count="2">
    <field x="1"/>
    <field x="2"/>
  </rowFields>
  <rowItems count="12">
    <i>
      <x/>
    </i>
    <i r="1">
      <x v="22"/>
    </i>
    <i r="1">
      <x v="23"/>
    </i>
    <i r="1">
      <x v="24"/>
    </i>
    <i r="1">
      <x v="25"/>
    </i>
    <i r="1">
      <x v="26"/>
    </i>
    <i>
      <x v="1"/>
    </i>
    <i r="1">
      <x v="8"/>
    </i>
    <i r="1">
      <x v="38"/>
    </i>
    <i>
      <x v="3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Total Value" fld="4" baseField="1" baseItem="0" numFmtId="166"/>
    <dataField name="%" fld="4" showDataAs="percentOfTotal" baseField="1" baseItem="0" numFmtId="10"/>
  </dataFields>
  <formats count="38">
    <format dxfId="432">
      <pivotArea field="5" type="button" dataOnly="0" labelOnly="1" outline="0" axis="axisPage" fieldPosition="0"/>
    </format>
    <format dxfId="431">
      <pivotArea dataOnly="0" labelOnly="1" outline="0" fieldPosition="0">
        <references count="1">
          <reference field="5" count="0"/>
        </references>
      </pivotArea>
    </format>
    <format dxfId="430">
      <pivotArea field="5" type="button" dataOnly="0" labelOnly="1" outline="0" axis="axisPage" fieldPosition="0"/>
    </format>
    <format dxfId="429">
      <pivotArea dataOnly="0" labelOnly="1" outline="0" fieldPosition="0">
        <references count="1">
          <reference field="5" count="0"/>
        </references>
      </pivotArea>
    </format>
    <format dxfId="428">
      <pivotArea field="5" type="button" dataOnly="0" labelOnly="1" outline="0" axis="axisPage" fieldPosition="0"/>
    </format>
    <format dxfId="427">
      <pivotArea dataOnly="0" labelOnly="1" outline="0" fieldPosition="0">
        <references count="1">
          <reference field="5" count="0"/>
        </references>
      </pivotArea>
    </format>
    <format dxfId="426">
      <pivotArea field="5" type="button" dataOnly="0" labelOnly="1" outline="0" axis="axisPage" fieldPosition="0"/>
    </format>
    <format dxfId="425">
      <pivotArea dataOnly="0" labelOnly="1" outline="0" fieldPosition="0">
        <references count="1">
          <reference field="5" count="0"/>
        </references>
      </pivotArea>
    </format>
    <format dxfId="424">
      <pivotArea field="5" type="button" dataOnly="0" labelOnly="1" outline="0" axis="axisPage" fieldPosition="0"/>
    </format>
    <format dxfId="423">
      <pivotArea dataOnly="0" labelOnly="1" outline="0" fieldPosition="0">
        <references count="1">
          <reference field="5" count="0"/>
        </references>
      </pivotArea>
    </format>
    <format dxfId="422">
      <pivotArea field="1" type="button" dataOnly="0" labelOnly="1" outline="0" axis="axisRow" fieldPosition="0"/>
    </format>
    <format dxfId="4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0">
      <pivotArea field="1" type="button" dataOnly="0" labelOnly="1" outline="0" axis="axisRow" fieldPosition="0"/>
    </format>
    <format dxfId="4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8">
      <pivotArea field="1" type="button" dataOnly="0" labelOnly="1" outline="0" axis="axisRow" fieldPosition="0"/>
    </format>
    <format dxfId="4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6">
      <pivotArea field="1" type="button" dataOnly="0" labelOnly="1" outline="0" axis="axisRow" fieldPosition="0"/>
    </format>
    <format dxfId="4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4">
      <pivotArea field="1" type="button" dataOnly="0" labelOnly="1" outline="0" axis="axisRow" fieldPosition="0"/>
    </format>
    <format dxfId="4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2">
      <pivotArea field="1" type="button" dataOnly="0" labelOnly="1" outline="0" axis="axisRow" fieldPosition="0"/>
    </format>
    <format dxfId="4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0">
      <pivotArea field="1" type="button" dataOnly="0" labelOnly="1" outline="0" axis="axisRow" fieldPosition="0"/>
    </format>
    <format dxfId="4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8">
      <pivotArea field="1" type="button" dataOnly="0" labelOnly="1" outline="0" axis="axisRow" fieldPosition="0"/>
    </format>
    <format dxfId="4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6">
      <pivotArea field="1" type="button" dataOnly="0" labelOnly="1" outline="0" axis="axisRow" fieldPosition="0"/>
    </format>
    <format dxfId="4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4">
      <pivotArea field="1" type="button" dataOnly="0" labelOnly="1" outline="0" axis="axisRow" fieldPosition="0"/>
    </format>
    <format dxfId="4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2">
      <pivotArea field="1" type="button" dataOnly="0" labelOnly="1" outline="0" axis="axisRow" fieldPosition="0"/>
    </format>
    <format dxfId="4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0">
      <pivotArea field="1" type="button" dataOnly="0" labelOnly="1" outline="0" axis="axisRow" fieldPosition="0"/>
    </format>
    <format dxfId="3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8">
      <pivotArea field="5" type="button" dataOnly="0" labelOnly="1" outline="0" axis="axisPage" fieldPosition="0"/>
    </format>
    <format dxfId="397">
      <pivotArea dataOnly="0" labelOnly="1" outline="0" fieldPosition="0">
        <references count="1">
          <reference field="5" count="0"/>
        </references>
      </pivotArea>
    </format>
    <format dxfId="3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9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N21:AP33" firstHeaderRow="0" firstDataRow="1" firstDataCol="1" rowPageCount="1" colPageCount="1"/>
  <pivotFields count="3">
    <pivotField axis="axisRow" showAll="0">
      <items count="56">
        <item h="1" x="12"/>
        <item h="1" m="1" x="50"/>
        <item h="1" m="1" x="36"/>
        <item h="1" m="1" x="35"/>
        <item h="1" x="17"/>
        <item m="1" x="49"/>
        <item h="1" m="1" x="52"/>
        <item h="1" m="1" x="53"/>
        <item h="1" x="16"/>
        <item h="1" m="1" x="39"/>
        <item x="33"/>
        <item h="1" x="31"/>
        <item h="1" x="11"/>
        <item x="10"/>
        <item x="2"/>
        <item m="1" x="48"/>
        <item x="0"/>
        <item h="1" x="14"/>
        <item h="1" x="15"/>
        <item m="1" x="51"/>
        <item h="1" x="4"/>
        <item h="1" m="1" x="54"/>
        <item m="1" x="38"/>
        <item h="1" m="1" x="40"/>
        <item x="32"/>
        <item h="1" m="1" x="37"/>
        <item h="1" m="1" x="46"/>
        <item h="1" m="1" x="45"/>
        <item x="5"/>
        <item h="1" x="9"/>
        <item x="6"/>
        <item h="1" m="1" x="43"/>
        <item h="1" x="21"/>
        <item h="1" m="1" x="44"/>
        <item x="8"/>
        <item h="1" x="22"/>
        <item h="1" x="23"/>
        <item h="1" m="1" x="42"/>
        <item x="1"/>
        <item h="1" x="24"/>
        <item h="1" x="13"/>
        <item x="7"/>
        <item h="1" x="18"/>
        <item h="1" x="19"/>
        <item h="1" m="1" x="47"/>
        <item x="3"/>
        <item h="1" m="1" x="34"/>
        <item h="1" x="20"/>
        <item h="1" x="25"/>
        <item h="1" x="26"/>
        <item h="1" x="27"/>
        <item h="1" x="28"/>
        <item h="1" x="29"/>
        <item h="1" m="1" x="41"/>
        <item h="1" x="30"/>
        <item t="default"/>
      </items>
    </pivotField>
    <pivotField axis="axisPage" multipleItemSelectionAllowed="1" showAll="0">
      <items count="6">
        <item h="1" x="1"/>
        <item h="1" x="0"/>
        <item h="1" x="3"/>
        <item h="1" x="4"/>
        <item x="2"/>
        <item t="default"/>
      </items>
    </pivotField>
    <pivotField dataField="1" showAll="0"/>
  </pivotFields>
  <rowFields count="1">
    <field x="0"/>
  </rowFields>
  <rowItems count="12">
    <i>
      <x v="10"/>
    </i>
    <i>
      <x v="13"/>
    </i>
    <i>
      <x v="14"/>
    </i>
    <i>
      <x v="16"/>
    </i>
    <i>
      <x v="24"/>
    </i>
    <i>
      <x v="28"/>
    </i>
    <i>
      <x v="30"/>
    </i>
    <i>
      <x v="34"/>
    </i>
    <i>
      <x v="38"/>
    </i>
    <i>
      <x v="41"/>
    </i>
    <i>
      <x v="4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otal Value" fld="2" baseField="0" baseItem="0" numFmtId="166"/>
    <dataField name="%" fld="2" showDataAs="percentOfTotal" baseField="0" baseItem="15" numFmtId="10"/>
  </dataFields>
  <formats count="33">
    <format dxfId="465">
      <pivotArea outline="0" collapsedLevelsAreSubtotals="1" fieldPosition="0"/>
    </format>
    <format dxfId="464">
      <pivotArea outline="0" fieldPosition="0">
        <references count="1">
          <reference field="4294967294" count="1">
            <x v="1"/>
          </reference>
        </references>
      </pivotArea>
    </format>
    <format dxfId="463">
      <pivotArea field="0" type="button" dataOnly="0" labelOnly="1" outline="0" axis="axisRow" fieldPosition="0"/>
    </format>
    <format dxfId="4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1">
      <pivotArea field="0" type="button" dataOnly="0" labelOnly="1" outline="0" axis="axisRow" fieldPosition="0"/>
    </format>
    <format dxfId="4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9">
      <pivotArea field="0" type="button" dataOnly="0" labelOnly="1" outline="0" axis="axisRow" fieldPosition="0"/>
    </format>
    <format dxfId="4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7">
      <pivotArea field="0" type="button" dataOnly="0" labelOnly="1" outline="0" axis="axisRow" fieldPosition="0"/>
    </format>
    <format dxfId="4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5">
      <pivotArea field="0" type="button" dataOnly="0" labelOnly="1" outline="0" axis="axisRow" fieldPosition="0"/>
    </format>
    <format dxfId="4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3">
      <pivotArea type="all" dataOnly="0" outline="0" fieldPosition="0"/>
    </format>
    <format dxfId="452">
      <pivotArea grandRow="1" outline="0" collapsedLevelsAreSubtotals="1" fieldPosition="0"/>
    </format>
    <format dxfId="451">
      <pivotArea dataOnly="0" labelOnly="1" grandRow="1" outline="0" fieldPosition="0"/>
    </format>
    <format dxfId="450">
      <pivotArea grandRow="1" outline="0" collapsedLevelsAreSubtotals="1" fieldPosition="0"/>
    </format>
    <format dxfId="449">
      <pivotArea dataOnly="0" labelOnly="1" grandRow="1" outline="0" fieldPosition="0"/>
    </format>
    <format dxfId="448">
      <pivotArea grandRow="1" outline="0" collapsedLevelsAreSubtotals="1" fieldPosition="0"/>
    </format>
    <format dxfId="447">
      <pivotArea dataOnly="0" labelOnly="1" grandRow="1" outline="0" fieldPosition="0"/>
    </format>
    <format dxfId="446">
      <pivotArea grandRow="1" outline="0" collapsedLevelsAreSubtotals="1" fieldPosition="0"/>
    </format>
    <format dxfId="445">
      <pivotArea dataOnly="0" labelOnly="1" grandRow="1" outline="0" fieldPosition="0"/>
    </format>
    <format dxfId="444">
      <pivotArea grandRow="1" outline="0" collapsedLevelsAreSubtotals="1" fieldPosition="0"/>
    </format>
    <format dxfId="443">
      <pivotArea dataOnly="0" labelOnly="1" grandRow="1" outline="0" fieldPosition="0"/>
    </format>
    <format dxfId="442">
      <pivotArea grandRow="1" outline="0" collapsedLevelsAreSubtotals="1" fieldPosition="0"/>
    </format>
    <format dxfId="441">
      <pivotArea dataOnly="0" labelOnly="1" grandRow="1" outline="0" fieldPosition="0"/>
    </format>
    <format dxfId="440">
      <pivotArea grandRow="1" outline="0" collapsedLevelsAreSubtotals="1" fieldPosition="0"/>
    </format>
    <format dxfId="439">
      <pivotArea dataOnly="0" labelOnly="1" grandRow="1" outline="0" fieldPosition="0"/>
    </format>
    <format dxfId="438">
      <pivotArea grandRow="1" outline="0" collapsedLevelsAreSubtotals="1" fieldPosition="0"/>
    </format>
    <format dxfId="437">
      <pivotArea dataOnly="0" labelOnly="1" grandRow="1" outline="0" fieldPosition="0"/>
    </format>
    <format dxfId="436">
      <pivotArea grandRow="1" outline="0" collapsedLevelsAreSubtotals="1" fieldPosition="0"/>
    </format>
    <format dxfId="435">
      <pivotArea dataOnly="0" labelOnly="1" grandRow="1" outline="0" fieldPosition="0"/>
    </format>
    <format dxfId="4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Equity / Debt / Gold / Cash">
  <location ref="AN9:AP14" firstHeaderRow="0" firstDataRow="1" firstDataCol="1"/>
  <pivotFields count="5">
    <pivotField showAll="0"/>
    <pivotField showAll="0"/>
    <pivotField showAll="0"/>
    <pivotField axis="axisRow" showAll="0">
      <items count="7">
        <item x="3"/>
        <item x="2"/>
        <item x="0"/>
        <item h="1" x="1"/>
        <item h="1" m="1" x="5"/>
        <item x="4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alue" fld="4" baseField="3" baseItem="0" numFmtId="166"/>
    <dataField name="%" fld="4" showDataAs="percentOfTotal" baseField="3" baseItem="0" numFmtId="10"/>
  </dataFields>
  <formats count="43">
    <format dxfId="508">
      <pivotArea outline="0" collapsedLevelsAreSubtotals="1" fieldPosition="0"/>
    </format>
    <format dxfId="507">
      <pivotArea outline="0" fieldPosition="0">
        <references count="1">
          <reference field="4294967294" count="1">
            <x v="1"/>
          </reference>
        </references>
      </pivotArea>
    </format>
    <format dxfId="5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4">
      <pivotArea field="3" type="button" dataOnly="0" labelOnly="1" outline="0" axis="axisRow" fieldPosition="0"/>
    </format>
    <format dxfId="5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2">
      <pivotArea field="3" type="button" dataOnly="0" labelOnly="1" outline="0" axis="axisRow" fieldPosition="0"/>
    </format>
    <format dxfId="5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0">
      <pivotArea field="3" type="button" dataOnly="0" labelOnly="1" outline="0" axis="axisRow" fieldPosition="0"/>
    </format>
    <format dxfId="4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8">
      <pivotArea field="3" type="button" dataOnly="0" labelOnly="1" outline="0" axis="axisRow" fieldPosition="0"/>
    </format>
    <format dxfId="4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6">
      <pivotArea field="3" type="button" dataOnly="0" labelOnly="1" outline="0" axis="axisRow" fieldPosition="0"/>
    </format>
    <format dxfId="4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4">
      <pivotArea field="3" type="button" dataOnly="0" labelOnly="1" outline="0" axis="axisRow" fieldPosition="0"/>
    </format>
    <format dxfId="4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2">
      <pivotArea field="3" type="button" dataOnly="0" labelOnly="1" outline="0" axis="axisRow" fieldPosition="0"/>
    </format>
    <format dxfId="4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0">
      <pivotArea field="3" type="button" dataOnly="0" labelOnly="1" outline="0" axis="axisRow" fieldPosition="0"/>
    </format>
    <format dxfId="4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8">
      <pivotArea field="3" type="button" dataOnly="0" labelOnly="1" outline="0" axis="axisRow" fieldPosition="0"/>
    </format>
    <format dxfId="4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6">
      <pivotArea field="3" type="button" dataOnly="0" labelOnly="1" outline="0" axis="axisRow" fieldPosition="0"/>
    </format>
    <format dxfId="4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4">
      <pivotArea grandRow="1" outline="0" collapsedLevelsAreSubtotals="1" fieldPosition="0"/>
    </format>
    <format dxfId="483">
      <pivotArea dataOnly="0" labelOnly="1" grandRow="1" outline="0" fieldPosition="0"/>
    </format>
    <format dxfId="482">
      <pivotArea grandRow="1" outline="0" collapsedLevelsAreSubtotals="1" fieldPosition="0"/>
    </format>
    <format dxfId="481">
      <pivotArea dataOnly="0" labelOnly="1" grandRow="1" outline="0" fieldPosition="0"/>
    </format>
    <format dxfId="480">
      <pivotArea grandRow="1" outline="0" collapsedLevelsAreSubtotals="1" fieldPosition="0"/>
    </format>
    <format dxfId="479">
      <pivotArea dataOnly="0" labelOnly="1" grandRow="1" outline="0" fieldPosition="0"/>
    </format>
    <format dxfId="478">
      <pivotArea grandRow="1" outline="0" collapsedLevelsAreSubtotals="1" fieldPosition="0"/>
    </format>
    <format dxfId="477">
      <pivotArea dataOnly="0" labelOnly="1" grandRow="1" outline="0" fieldPosition="0"/>
    </format>
    <format dxfId="476">
      <pivotArea grandRow="1" outline="0" collapsedLevelsAreSubtotals="1" fieldPosition="0"/>
    </format>
    <format dxfId="475">
      <pivotArea dataOnly="0" labelOnly="1" grandRow="1" outline="0" fieldPosition="0"/>
    </format>
    <format dxfId="474">
      <pivotArea grandRow="1" outline="0" collapsedLevelsAreSubtotals="1" fieldPosition="0"/>
    </format>
    <format dxfId="473">
      <pivotArea dataOnly="0" labelOnly="1" grandRow="1" outline="0" fieldPosition="0"/>
    </format>
    <format dxfId="472">
      <pivotArea grandRow="1" outline="0" collapsedLevelsAreSubtotals="1" fieldPosition="0"/>
    </format>
    <format dxfId="471">
      <pivotArea dataOnly="0" labelOnly="1" grandRow="1" outline="0" fieldPosition="0"/>
    </format>
    <format dxfId="470">
      <pivotArea grandRow="1" outline="0" collapsedLevelsAreSubtotals="1" fieldPosition="0"/>
    </format>
    <format dxfId="469">
      <pivotArea dataOnly="0" labelOnly="1" grandRow="1" outline="0" fieldPosition="0"/>
    </format>
    <format dxfId="468">
      <pivotArea grandRow="1" outline="0" collapsedLevelsAreSubtotals="1" fieldPosition="0"/>
    </format>
    <format dxfId="467">
      <pivotArea dataOnly="0" labelOnly="1" grandRow="1" outline="0" fieldPosition="0"/>
    </format>
    <format dxfId="46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A000000}" name="PivotTable1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J7:K55" firstHeaderRow="1" firstDataRow="1" firstDataCol="1"/>
  <pivotFields count="6">
    <pivotField showAll="0"/>
    <pivotField axis="axisRow" showAll="0">
      <items count="6">
        <item m="1" x="4"/>
        <item x="0"/>
        <item x="1"/>
        <item x="2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21">
        <item x="12"/>
        <item x="0"/>
        <item x="2"/>
        <item x="1"/>
        <item x="8"/>
        <item x="5"/>
        <item x="6"/>
        <item x="7"/>
        <item x="4"/>
        <item x="10"/>
        <item x="9"/>
        <item x="3"/>
        <item x="11"/>
        <item x="19"/>
        <item x="13"/>
        <item x="14"/>
        <item x="15"/>
        <item x="16"/>
        <item x="17"/>
        <item x="18"/>
        <item t="default"/>
      </items>
    </pivotField>
    <pivotField dataField="1" showAll="0"/>
    <pivotField dragToRow="0" dragToCol="0" dragToPage="0" showAll="0" defaultSubtotal="0"/>
  </pivotFields>
  <rowFields count="3">
    <field x="1"/>
    <field x="2"/>
    <field x="3"/>
  </rowFields>
  <rowItems count="48">
    <i>
      <x v="1"/>
    </i>
    <i r="1">
      <x/>
    </i>
    <i r="2">
      <x/>
    </i>
    <i r="1">
      <x v="1"/>
    </i>
    <i r="2">
      <x v="1"/>
    </i>
    <i r="1">
      <x v="3"/>
    </i>
    <i r="2">
      <x v="14"/>
    </i>
    <i>
      <x v="2"/>
    </i>
    <i r="1">
      <x/>
    </i>
    <i r="2">
      <x/>
    </i>
    <i r="2">
      <x v="2"/>
    </i>
    <i r="2">
      <x v="5"/>
    </i>
    <i r="2">
      <x v="15"/>
    </i>
    <i r="2">
      <x v="16"/>
    </i>
    <i r="1">
      <x v="1"/>
    </i>
    <i r="2">
      <x v="1"/>
    </i>
    <i r="2">
      <x v="3"/>
    </i>
    <i r="2">
      <x v="4"/>
    </i>
    <i r="2">
      <x v="6"/>
    </i>
    <i r="2">
      <x v="7"/>
    </i>
    <i r="2">
      <x v="8"/>
    </i>
    <i r="2">
      <x v="11"/>
    </i>
    <i r="2">
      <x v="12"/>
    </i>
    <i r="1">
      <x v="3"/>
    </i>
    <i r="2">
      <x v="14"/>
    </i>
    <i>
      <x v="3"/>
    </i>
    <i r="1">
      <x/>
    </i>
    <i r="2">
      <x/>
    </i>
    <i r="2">
      <x v="2"/>
    </i>
    <i r="2">
      <x v="5"/>
    </i>
    <i r="2">
      <x v="9"/>
    </i>
    <i r="2">
      <x v="15"/>
    </i>
    <i r="2">
      <x v="16"/>
    </i>
    <i r="1">
      <x v="1"/>
    </i>
    <i r="2">
      <x v="1"/>
    </i>
    <i r="2">
      <x v="6"/>
    </i>
    <i r="2">
      <x v="7"/>
    </i>
    <i r="2">
      <x v="8"/>
    </i>
    <i r="2">
      <x v="10"/>
    </i>
    <i r="2">
      <x v="17"/>
    </i>
    <i r="2">
      <x v="18"/>
    </i>
    <i r="2">
      <x v="19"/>
    </i>
    <i r="1">
      <x v="3"/>
    </i>
    <i r="2">
      <x v="14"/>
    </i>
    <i>
      <x v="4"/>
    </i>
    <i r="1">
      <x v="2"/>
    </i>
    <i r="2">
      <x v="13"/>
    </i>
    <i t="grand">
      <x/>
    </i>
  </rowItems>
  <colItems count="1">
    <i/>
  </colItems>
  <dataFields count="1">
    <dataField name="Sum of Amount" fld="4" baseField="0" baseItem="19918504" numFmtId="166"/>
  </dataFields>
  <formats count="1">
    <format dxfId="1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V4:W45" firstHeaderRow="1" firstDataRow="1" firstDataCol="1"/>
  <pivotFields count="6">
    <pivotField showAll="0"/>
    <pivotField showAll="0"/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2">
    <field x="5"/>
    <field x="2"/>
  </rowFields>
  <rowItems count="41">
    <i>
      <x/>
    </i>
    <i r="1">
      <x v="2"/>
    </i>
    <i r="1">
      <x v="8"/>
    </i>
    <i r="1">
      <x v="22"/>
    </i>
    <i r="1">
      <x v="23"/>
    </i>
    <i r="1">
      <x v="24"/>
    </i>
    <i r="1">
      <x v="25"/>
    </i>
    <i r="1">
      <x v="26"/>
    </i>
    <i r="1">
      <x v="38"/>
    </i>
    <i>
      <x v="1"/>
    </i>
    <i r="1">
      <x/>
    </i>
    <i r="1">
      <x v="1"/>
    </i>
    <i r="1">
      <x v="6"/>
    </i>
    <i r="1">
      <x v="9"/>
    </i>
    <i r="1">
      <x v="10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>
      <x v="2"/>
    </i>
    <i r="1">
      <x v="31"/>
    </i>
    <i>
      <x v="3"/>
    </i>
    <i r="1">
      <x v="12"/>
    </i>
    <i t="grand">
      <x/>
    </i>
  </rowItems>
  <colItems count="1">
    <i/>
  </colItems>
  <dataFields count="1">
    <dataField name="Sum of Value" fld="4" baseField="5" baseItem="0"/>
  </dataFields>
  <formats count="18">
    <format dxfId="130">
      <pivotArea collapsedLevelsAreSubtotals="1" fieldPosition="0">
        <references count="1">
          <reference field="5" count="1">
            <x v="0"/>
          </reference>
        </references>
      </pivotArea>
    </format>
    <format dxfId="129">
      <pivotArea collapsedLevelsAreSubtotals="1" fieldPosition="0">
        <references count="2">
          <reference field="2" count="9">
            <x v="2"/>
            <x v="7"/>
            <x v="8"/>
            <x v="12"/>
            <x v="22"/>
            <x v="23"/>
            <x v="24"/>
            <x v="25"/>
            <x v="26"/>
          </reference>
          <reference field="5" count="1" selected="0">
            <x v="0"/>
          </reference>
        </references>
      </pivotArea>
    </format>
    <format dxfId="128">
      <pivotArea collapsedLevelsAreSubtotals="1" fieldPosition="0">
        <references count="1">
          <reference field="5" count="1">
            <x v="1"/>
          </reference>
        </references>
      </pivotArea>
    </format>
    <format dxfId="127">
      <pivotArea collapsedLevelsAreSubtotals="1" fieldPosition="0">
        <references count="2">
          <reference field="2" count="22">
            <x v="0"/>
            <x v="1"/>
            <x v="3"/>
            <x v="4"/>
            <x v="5"/>
            <x v="6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7"/>
            <x v="28"/>
            <x v="29"/>
            <x v="30"/>
          </reference>
          <reference field="5" count="1" selected="0">
            <x v="1"/>
          </reference>
        </references>
      </pivotArea>
    </format>
    <format dxfId="126">
      <pivotArea grandRow="1" outline="0" collapsedLevelsAreSubtotals="1" fieldPosition="0"/>
    </format>
    <format dxfId="125">
      <pivotArea field="5" type="button" dataOnly="0" labelOnly="1" outline="0" axis="axisRow" fieldPosition="0"/>
    </format>
    <format dxfId="124">
      <pivotArea dataOnly="0" labelOnly="1" outline="0" axis="axisValues" fieldPosition="0"/>
    </format>
    <format dxfId="123">
      <pivotArea field="5" type="button" dataOnly="0" labelOnly="1" outline="0" axis="axisRow" fieldPosition="0"/>
    </format>
    <format dxfId="122">
      <pivotArea dataOnly="0" labelOnly="1" outline="0" axis="axisValues" fieldPosition="0"/>
    </format>
    <format dxfId="121">
      <pivotArea field="5" type="button" dataOnly="0" labelOnly="1" outline="0" axis="axisRow" fieldPosition="0"/>
    </format>
    <format dxfId="120">
      <pivotArea dataOnly="0" labelOnly="1" outline="0" axis="axisValues" fieldPosition="0"/>
    </format>
    <format dxfId="119">
      <pivotArea field="5" type="button" dataOnly="0" labelOnly="1" outline="0" axis="axisRow" fieldPosition="0"/>
    </format>
    <format dxfId="118">
      <pivotArea dataOnly="0" labelOnly="1" outline="0" axis="axisValues" fieldPosition="0"/>
    </format>
    <format dxfId="117">
      <pivotArea field="5" type="button" dataOnly="0" labelOnly="1" outline="0" axis="axisRow" fieldPosition="0"/>
    </format>
    <format dxfId="116">
      <pivotArea dataOnly="0" labelOnly="1" outline="0" axis="axisValues" fieldPosition="0"/>
    </format>
    <format dxfId="115">
      <pivotArea field="5" type="button" dataOnly="0" labelOnly="1" outline="0" axis="axisRow" fieldPosition="0"/>
    </format>
    <format dxfId="114">
      <pivotArea dataOnly="0" labelOnly="1" outline="0" axis="axisValues" fieldPosition="0"/>
    </format>
    <format dxfId="113">
      <pivotArea collapsedLevelsAreSubtotals="1" fieldPosition="0">
        <references count="2">
          <reference field="2" count="1">
            <x v="38"/>
          </reference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200000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S5:T19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h="1" x="2"/>
        <item h="1" x="7"/>
        <item h="1" x="8"/>
        <item h="1" m="1" x="41"/>
        <item h="1"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2"/>
        <item h="1"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2">
    <field x="15"/>
    <field x="0"/>
  </rowFields>
  <rowItems count="14">
    <i>
      <x/>
    </i>
    <i r="1">
      <x v="1"/>
    </i>
    <i r="1">
      <x v="21"/>
    </i>
    <i>
      <x v="2"/>
    </i>
    <i r="1">
      <x/>
    </i>
    <i r="1">
      <x v="6"/>
    </i>
    <i r="1">
      <x v="16"/>
    </i>
    <i r="1">
      <x v="20"/>
    </i>
    <i r="1">
      <x v="25"/>
    </i>
    <i r="1">
      <x v="26"/>
    </i>
    <i r="1">
      <x v="27"/>
    </i>
    <i r="1">
      <x v="29"/>
    </i>
    <i r="1">
      <x v="30"/>
    </i>
    <i t="grand">
      <x/>
    </i>
  </rowItems>
  <colItems count="1">
    <i/>
  </colItems>
  <pageFields count="1">
    <pageField fld="9" hier="-1"/>
  </pageFields>
  <dataFields count="1">
    <dataField name="Value" fld="12" baseField="0" baseItem="7337032" numFmtId="166"/>
  </dataFields>
  <formats count="13">
    <format dxfId="19">
      <pivotArea field="15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15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15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15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15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15" type="button" dataOnly="0" labelOnly="1" outline="0" axis="axisRow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100000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L5:M48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multipleItemSelectionAllowe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2"/>
        <item x="1"/>
        <item m="1" x="3"/>
        <item h="1" x="0"/>
        <item t="default"/>
      </items>
    </pivotField>
  </pivotFields>
  <rowFields count="2">
    <field x="6"/>
    <field x="0"/>
  </rowFields>
  <rowItems count="4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2"/>
    </i>
    <i r="1">
      <x v="8"/>
    </i>
    <i t="grand">
      <x/>
    </i>
  </rowItems>
  <colItems count="1">
    <i/>
  </colItems>
  <pageFields count="1">
    <pageField fld="14" hier="-1"/>
  </pageFields>
  <dataFields count="1">
    <dataField name="Value" fld="11" baseField="0" baseItem="5239352" numFmtId="166"/>
  </dataFields>
  <formats count="13">
    <format dxfId="32">
      <pivotArea field="0" type="button" dataOnly="0" labelOnly="1" outline="0" axis="axisRow" fieldPosition="1"/>
    </format>
    <format dxfId="31">
      <pivotArea dataOnly="0" labelOnly="1" outline="0" axis="axisValues" fieldPosition="0"/>
    </format>
    <format dxfId="30">
      <pivotArea field="0" type="button" dataOnly="0" labelOnly="1" outline="0" axis="axisRow" fieldPosition="1"/>
    </format>
    <format dxfId="29">
      <pivotArea dataOnly="0" labelOnly="1" outline="0" axis="axisValues" fieldPosition="0"/>
    </format>
    <format dxfId="28">
      <pivotArea field="0" type="button" dataOnly="0" labelOnly="1" outline="0" axis="axisRow" fieldPosition="1"/>
    </format>
    <format dxfId="27">
      <pivotArea dataOnly="0" labelOnly="1" outline="0" axis="axisValues" fieldPosition="0"/>
    </format>
    <format dxfId="26">
      <pivotArea field="0" type="button" dataOnly="0" labelOnly="1" outline="0" axis="axisRow" fieldPosition="1"/>
    </format>
    <format dxfId="25">
      <pivotArea dataOnly="0" labelOnly="1" outline="0" axis="axisValues" fieldPosition="0"/>
    </format>
    <format dxfId="24">
      <pivotArea field="0" type="button" dataOnly="0" labelOnly="1" outline="0" axis="axisRow" fieldPosition="1"/>
    </format>
    <format dxfId="23">
      <pivotArea dataOnly="0" labelOnly="1" outline="0" axis="axisValues" fieldPosition="0"/>
    </format>
    <format dxfId="22">
      <pivotArea field="0" type="button" dataOnly="0" labelOnly="1" outline="0" axis="axisRow" fieldPosition="1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0000000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A5:AB9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h="1" x="3"/>
        <item h="1" x="1"/>
        <item h="1" x="0"/>
        <item t="default"/>
      </items>
    </pivotField>
  </pivotFields>
  <rowFields count="2">
    <field x="6"/>
    <field x="0"/>
  </rowFields>
  <rowItems count="4">
    <i>
      <x v="1"/>
    </i>
    <i r="1">
      <x v="1"/>
    </i>
    <i r="1">
      <x v="21"/>
    </i>
    <i t="grand">
      <x/>
    </i>
  </rowItems>
  <colItems count="1">
    <i/>
  </colItems>
  <pageFields count="1">
    <pageField fld="15" hier="-1"/>
  </pageFields>
  <dataFields count="1">
    <dataField name="Value" fld="12" baseField="0" baseItem="7337032" numFmtId="166"/>
  </dataFields>
  <formats count="13">
    <format dxfId="45">
      <pivotArea outline="0" collapsedLevelsAreSubtotals="1" fieldPosition="0"/>
    </format>
    <format dxfId="44">
      <pivotArea field="0" type="button" dataOnly="0" labelOnly="1" outline="0" axis="axisRow" fieldPosition="1"/>
    </format>
    <format dxfId="43">
      <pivotArea dataOnly="0" labelOnly="1" outline="0" axis="axisValues" fieldPosition="0"/>
    </format>
    <format dxfId="42">
      <pivotArea field="0" type="button" dataOnly="0" labelOnly="1" outline="0" axis="axisRow" fieldPosition="1"/>
    </format>
    <format dxfId="41">
      <pivotArea dataOnly="0" labelOnly="1" outline="0" axis="axisValues" fieldPosition="0"/>
    </format>
    <format dxfId="40">
      <pivotArea field="0" type="button" dataOnly="0" labelOnly="1" outline="0" axis="axisRow" fieldPosition="1"/>
    </format>
    <format dxfId="39">
      <pivotArea dataOnly="0" labelOnly="1" outline="0" axis="axisValues" fieldPosition="0"/>
    </format>
    <format dxfId="38">
      <pivotArea field="0" type="button" dataOnly="0" labelOnly="1" outline="0" axis="axisRow" fieldPosition="1"/>
    </format>
    <format dxfId="37">
      <pivotArea dataOnly="0" labelOnly="1" outline="0" axis="axisValues" fieldPosition="0"/>
    </format>
    <format dxfId="36">
      <pivotArea field="0" type="button" dataOnly="0" labelOnly="1" outline="0" axis="axisRow" fieldPosition="1"/>
    </format>
    <format dxfId="35">
      <pivotArea dataOnly="0" labelOnly="1" outline="0" axis="axisValues" fieldPosition="0"/>
    </format>
    <format dxfId="34">
      <pivotArea field="0" type="button" dataOnly="0" labelOnly="1" outline="0" axis="axisRow" fieldPosition="1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F000000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W5:X8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2">
    <field x="15"/>
    <field x="0"/>
  </rowFields>
  <rowItems count="3">
    <i>
      <x v="1"/>
    </i>
    <i r="1">
      <x v="21"/>
    </i>
    <i t="grand">
      <x/>
    </i>
  </rowItems>
  <colItems count="1">
    <i/>
  </colItems>
  <pageFields count="1">
    <pageField fld="9" hier="-1"/>
  </pageFields>
  <dataFields count="1">
    <dataField name="Value" fld="12" baseField="0" baseItem="7337032" numFmtId="166"/>
  </dataFields>
  <formats count="13">
    <format dxfId="58">
      <pivotArea outline="0" collapsedLevelsAreSubtotals="1" fieldPosition="0"/>
    </format>
    <format dxfId="57">
      <pivotArea field="15" type="button" dataOnly="0" labelOnly="1" outline="0" axis="axisRow" fieldPosition="0"/>
    </format>
    <format dxfId="56">
      <pivotArea dataOnly="0" labelOnly="1" outline="0" axis="axisValues" fieldPosition="0"/>
    </format>
    <format dxfId="55">
      <pivotArea field="15" type="button" dataOnly="0" labelOnly="1" outline="0" axis="axisRow" fieldPosition="0"/>
    </format>
    <format dxfId="54">
      <pivotArea dataOnly="0" labelOnly="1" outline="0" axis="axisValues" fieldPosition="0"/>
    </format>
    <format dxfId="53">
      <pivotArea field="15" type="button" dataOnly="0" labelOnly="1" outline="0" axis="axisRow" fieldPosition="0"/>
    </format>
    <format dxfId="52">
      <pivotArea dataOnly="0" labelOnly="1" outline="0" axis="axisValues" fieldPosition="0"/>
    </format>
    <format dxfId="51">
      <pivotArea field="15" type="button" dataOnly="0" labelOnly="1" outline="0" axis="axisRow" fieldPosition="0"/>
    </format>
    <format dxfId="50">
      <pivotArea dataOnly="0" labelOnly="1" outline="0" axis="axisValues" fieldPosition="0"/>
    </format>
    <format dxfId="49">
      <pivotArea field="15" type="button" dataOnly="0" labelOnly="1" outline="0" axis="axisRow" fieldPosition="0"/>
    </format>
    <format dxfId="48">
      <pivotArea dataOnly="0" labelOnly="1" outline="0" axis="axisValues" fieldPosition="0"/>
    </format>
    <format dxfId="47">
      <pivotArea field="15" type="button" dataOnly="0" labelOnly="1" outline="0" axis="axisRow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E00000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E5:F49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axis="axisPage" multipleItemSelectionAllowed="1" showAll="0">
      <items count="9">
        <item x="5"/>
        <item h="1" x="2"/>
        <item h="1" m="1" x="7"/>
        <item h="1" x="6"/>
        <item h="1" x="0"/>
        <item h="1" x="1"/>
        <item h="1" x="4"/>
        <item h="1" x="3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m="1" x="3"/>
        <item x="0"/>
        <item t="default"/>
      </items>
    </pivotField>
  </pivotFields>
  <rowFields count="3">
    <field x="14"/>
    <field x="6"/>
    <field x="0"/>
  </rowFields>
  <rowItems count="44"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1">
      <x v="2"/>
    </i>
    <i r="2">
      <x v="8"/>
    </i>
    <i t="grand">
      <x/>
    </i>
  </rowItems>
  <colItems count="1">
    <i/>
  </colItems>
  <pageFields count="1">
    <pageField fld="1" hier="-1"/>
  </pageFields>
  <dataFields count="1">
    <dataField name="Value" fld="11" baseField="14" baseItem="0" numFmtId="166"/>
  </dataFields>
  <formats count="13">
    <format dxfId="71">
      <pivotArea outline="0" collapsedLevelsAreSubtotals="1" fieldPosition="0"/>
    </format>
    <format dxfId="70">
      <pivotArea field="14" type="button" dataOnly="0" labelOnly="1" outline="0" axis="axisRow" fieldPosition="0"/>
    </format>
    <format dxfId="69">
      <pivotArea dataOnly="0" labelOnly="1" outline="0" axis="axisValues" fieldPosition="0"/>
    </format>
    <format dxfId="68">
      <pivotArea field="14" type="button" dataOnly="0" labelOnly="1" outline="0" axis="axisRow" fieldPosition="0"/>
    </format>
    <format dxfId="67">
      <pivotArea dataOnly="0" labelOnly="1" outline="0" axis="axisValues" fieldPosition="0"/>
    </format>
    <format dxfId="66">
      <pivotArea field="14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14" type="button" dataOnly="0" labelOnly="1" outline="0" axis="axisRow" fieldPosition="0"/>
    </format>
    <format dxfId="63">
      <pivotArea dataOnly="0" labelOnly="1" outline="0" axis="axisValues" fieldPosition="0"/>
    </format>
    <format dxfId="62">
      <pivotArea field="14" type="button" dataOnly="0" labelOnly="1" outline="0" axis="axisRow" fieldPosition="0"/>
    </format>
    <format dxfId="61">
      <pivotArea dataOnly="0" labelOnly="1" outline="0" axis="axisValues" fieldPosition="0"/>
    </format>
    <format dxfId="60">
      <pivotArea field="14" type="button" dataOnly="0" labelOnly="1" outline="0" axis="axisRow" fieldPosition="0"/>
    </format>
    <format dxfId="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D00000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5:B11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axis="axisPage" multipleItemSelectionAllowed="1" showAll="0">
      <items count="9">
        <item h="1" x="5"/>
        <item h="1" x="2"/>
        <item h="1" m="1" x="7"/>
        <item x="6"/>
        <item h="1" x="0"/>
        <item h="1" x="1"/>
        <item h="1" x="4"/>
        <item h="1" x="3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m="1" x="3"/>
        <item x="0"/>
        <item t="default"/>
      </items>
    </pivotField>
  </pivotFields>
  <rowFields count="3">
    <field x="14"/>
    <field x="6"/>
    <field x="0"/>
  </rowFields>
  <rowItems count="6">
    <i>
      <x/>
    </i>
    <i r="1">
      <x/>
    </i>
    <i r="2">
      <x v="17"/>
    </i>
    <i r="1">
      <x v="1"/>
    </i>
    <i r="2">
      <x v="36"/>
    </i>
    <i t="grand">
      <x/>
    </i>
  </rowItems>
  <colItems count="1">
    <i/>
  </colItems>
  <pageFields count="1">
    <pageField fld="1" hier="-1"/>
  </pageFields>
  <dataFields count="1">
    <dataField name="Value" fld="11" baseField="0" baseItem="5239352" numFmtId="166"/>
  </dataFields>
  <formats count="13">
    <format dxfId="84">
      <pivotArea outline="0" collapsedLevelsAreSubtotals="1" fieldPosition="0"/>
    </format>
    <format dxfId="83">
      <pivotArea field="14" type="button" dataOnly="0" labelOnly="1" outline="0" axis="axisRow" fieldPosition="0"/>
    </format>
    <format dxfId="82">
      <pivotArea dataOnly="0" labelOnly="1" outline="0" axis="axisValues" fieldPosition="0"/>
    </format>
    <format dxfId="81">
      <pivotArea field="14" type="button" dataOnly="0" labelOnly="1" outline="0" axis="axisRow" fieldPosition="0"/>
    </format>
    <format dxfId="80">
      <pivotArea dataOnly="0" labelOnly="1" outline="0" axis="axisValues" fieldPosition="0"/>
    </format>
    <format dxfId="79">
      <pivotArea field="14" type="button" dataOnly="0" labelOnly="1" outline="0" axis="axisRow" fieldPosition="0"/>
    </format>
    <format dxfId="78">
      <pivotArea dataOnly="0" labelOnly="1" outline="0" axis="axisValues" fieldPosition="0"/>
    </format>
    <format dxfId="77">
      <pivotArea field="14" type="button" dataOnly="0" labelOnly="1" outline="0" axis="axisRow" fieldPosition="0"/>
    </format>
    <format dxfId="76">
      <pivotArea dataOnly="0" labelOnly="1" outline="0" axis="axisValues" fieldPosition="0"/>
    </format>
    <format dxfId="75">
      <pivotArea field="14" type="button" dataOnly="0" labelOnly="1" outline="0" axis="axisRow" fieldPosition="0"/>
    </format>
    <format dxfId="74">
      <pivotArea dataOnly="0" labelOnly="1" outline="0" axis="axisValues" fieldPosition="0"/>
    </format>
    <format dxfId="73">
      <pivotArea field="14" type="button" dataOnly="0" labelOnly="1" outline="0" axis="axisRow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C000000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E5:AF18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h="1" f="1" x="47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2"/>
        <item x="3"/>
        <item x="1"/>
        <item h="1" x="0"/>
        <item t="default"/>
      </items>
    </pivotField>
  </pivotFields>
  <rowFields count="2">
    <field x="6"/>
    <field x="0"/>
  </rowFields>
  <rowItems count="13">
    <i>
      <x v="1"/>
    </i>
    <i r="1">
      <x/>
    </i>
    <i r="1">
      <x v="22"/>
    </i>
    <i r="1">
      <x v="30"/>
    </i>
    <i>
      <x v="2"/>
    </i>
    <i r="1">
      <x v="6"/>
    </i>
    <i r="1">
      <x v="17"/>
    </i>
    <i r="1">
      <x v="21"/>
    </i>
    <i r="1">
      <x v="26"/>
    </i>
    <i r="1">
      <x v="27"/>
    </i>
    <i r="1">
      <x v="28"/>
    </i>
    <i r="1">
      <x v="31"/>
    </i>
    <i t="grand">
      <x/>
    </i>
  </rowItems>
  <colItems count="1">
    <i/>
  </colItems>
  <pageFields count="1">
    <pageField fld="15" hier="-1"/>
  </pageFields>
  <dataFields count="1">
    <dataField name="Value" fld="12" baseField="0" baseItem="7337032" numFmtId="173"/>
  </dataFields>
  <formats count="14">
    <format dxfId="98">
      <pivotArea outline="0" collapsedLevelsAreSubtotals="1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1"/>
    </format>
    <format dxfId="95">
      <pivotArea dataOnly="0" labelOnly="1" outline="0" axis="axisValues" fieldPosition="0"/>
    </format>
    <format dxfId="94">
      <pivotArea field="0" type="button" dataOnly="0" labelOnly="1" outline="0" axis="axisRow" fieldPosition="1"/>
    </format>
    <format dxfId="93">
      <pivotArea dataOnly="0" labelOnly="1" outline="0" axis="axisValues" fieldPosition="0"/>
    </format>
    <format dxfId="92">
      <pivotArea field="0" type="button" dataOnly="0" labelOnly="1" outline="0" axis="axisRow" fieldPosition="1"/>
    </format>
    <format dxfId="91">
      <pivotArea dataOnly="0" labelOnly="1" outline="0" axis="axisValues" fieldPosition="0"/>
    </format>
    <format dxfId="90">
      <pivotArea field="0" type="button" dataOnly="0" labelOnly="1" outline="0" axis="axisRow" fieldPosition="1"/>
    </format>
    <format dxfId="89">
      <pivotArea dataOnly="0" labelOnly="1" outline="0" axis="axisValues" fieldPosition="0"/>
    </format>
    <format dxfId="88">
      <pivotArea field="0" type="button" dataOnly="0" labelOnly="1" outline="0" axis="axisRow" fieldPosition="1"/>
    </format>
    <format dxfId="87">
      <pivotArea dataOnly="0" labelOnly="1" outline="0" axis="axisValues" fieldPosition="0"/>
    </format>
    <format dxfId="86">
      <pivotArea field="0" type="button" dataOnly="0" labelOnly="1" outline="0" axis="axisRow" fieldPosition="1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B00000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I5:J10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multipleItemSelectionAllowe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h="1" x="1"/>
        <item h="1" m="1" x="3"/>
        <item h="1" x="0"/>
        <item t="default"/>
      </items>
    </pivotField>
  </pivotFields>
  <rowFields count="2">
    <field x="6"/>
    <field x="0"/>
  </rowFields>
  <rowItems count="5">
    <i>
      <x/>
    </i>
    <i r="1">
      <x v="17"/>
    </i>
    <i>
      <x v="1"/>
    </i>
    <i r="1">
      <x v="36"/>
    </i>
    <i t="grand">
      <x/>
    </i>
  </rowItems>
  <colItems count="1">
    <i/>
  </colItems>
  <pageFields count="1">
    <pageField fld="14" hier="-1"/>
  </pageFields>
  <dataFields count="1">
    <dataField name="Value" fld="11" baseField="0" baseItem="5239352" numFmtId="166"/>
  </dataFields>
  <formats count="13">
    <format dxfId="111">
      <pivotArea outline="0" collapsedLevelsAreSubtotals="1" fieldPosition="0"/>
    </format>
    <format dxfId="110">
      <pivotArea field="0" type="button" dataOnly="0" labelOnly="1" outline="0" axis="axisRow" fieldPosition="1"/>
    </format>
    <format dxfId="109">
      <pivotArea dataOnly="0" labelOnly="1" outline="0" axis="axisValues" fieldPosition="0"/>
    </format>
    <format dxfId="108">
      <pivotArea field="0" type="button" dataOnly="0" labelOnly="1" outline="0" axis="axisRow" fieldPosition="1"/>
    </format>
    <format dxfId="107">
      <pivotArea dataOnly="0" labelOnly="1" outline="0" axis="axisValues" fieldPosition="0"/>
    </format>
    <format dxfId="106">
      <pivotArea field="0" type="button" dataOnly="0" labelOnly="1" outline="0" axis="axisRow" fieldPosition="1"/>
    </format>
    <format dxfId="105">
      <pivotArea dataOnly="0" labelOnly="1" outline="0" axis="axisValues" fieldPosition="0"/>
    </format>
    <format dxfId="104">
      <pivotArea field="0" type="button" dataOnly="0" labelOnly="1" outline="0" axis="axisRow" fieldPosition="1"/>
    </format>
    <format dxfId="103">
      <pivotArea dataOnly="0" labelOnly="1" outline="0" axis="axisValues" fieldPosition="0"/>
    </format>
    <format dxfId="102">
      <pivotArea field="0" type="button" dataOnly="0" labelOnly="1" outline="0" axis="axisRow" fieldPosition="1"/>
    </format>
    <format dxfId="101">
      <pivotArea dataOnly="0" labelOnly="1" outline="0" axis="axisValues" fieldPosition="0"/>
    </format>
    <format dxfId="100">
      <pivotArea field="0" type="button" dataOnly="0" labelOnly="1" outline="0" axis="axisRow" fieldPosition="1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002017"/>
      </a:dk2>
      <a:lt2>
        <a:srgbClr val="EFEDC3"/>
      </a:lt2>
      <a:accent1>
        <a:srgbClr val="02422B"/>
      </a:accent1>
      <a:accent2>
        <a:srgbClr val="DABD38"/>
      </a:accent2>
      <a:accent3>
        <a:srgbClr val="008455"/>
      </a:accent3>
      <a:accent4>
        <a:srgbClr val="0A3452"/>
      </a:accent4>
      <a:accent5>
        <a:srgbClr val="550E0E"/>
      </a:accent5>
      <a:accent6>
        <a:srgbClr val="A78C11"/>
      </a:accent6>
      <a:hlink>
        <a:srgbClr val="0A3452"/>
      </a:hlink>
      <a:folHlink>
        <a:srgbClr val="550E0E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Relationship Id="rId9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workbookViewId="0">
      <selection activeCell="C34" sqref="C34"/>
    </sheetView>
  </sheetViews>
  <sheetFormatPr defaultColWidth="11.42578125" defaultRowHeight="15" x14ac:dyDescent="0.25"/>
  <cols>
    <col min="2" max="2" width="36.7109375" bestFit="1" customWidth="1"/>
  </cols>
  <sheetData>
    <row r="2" spans="1:3" x14ac:dyDescent="0.25">
      <c r="A2" s="33" t="s">
        <v>1</v>
      </c>
      <c r="B2" s="33" t="s">
        <v>196</v>
      </c>
      <c r="C2" s="33" t="s">
        <v>197</v>
      </c>
    </row>
    <row r="3" spans="1:3" x14ac:dyDescent="0.25">
      <c r="A3">
        <v>1</v>
      </c>
      <c r="B3" t="s">
        <v>198</v>
      </c>
      <c r="C3" t="s">
        <v>200</v>
      </c>
    </row>
    <row r="4" spans="1:3" x14ac:dyDescent="0.25">
      <c r="A4">
        <v>2</v>
      </c>
      <c r="B4" t="s">
        <v>199</v>
      </c>
    </row>
    <row r="5" spans="1:3" x14ac:dyDescent="0.25">
      <c r="A5">
        <v>3</v>
      </c>
      <c r="B5" t="s">
        <v>201</v>
      </c>
    </row>
    <row r="6" spans="1:3" x14ac:dyDescent="0.25">
      <c r="B6" t="s">
        <v>202</v>
      </c>
    </row>
    <row r="7" spans="1:3" x14ac:dyDescent="0.25">
      <c r="B7" t="s">
        <v>203</v>
      </c>
    </row>
    <row r="8" spans="1:3" x14ac:dyDescent="0.25">
      <c r="B8" t="s">
        <v>204</v>
      </c>
    </row>
    <row r="9" spans="1:3" x14ac:dyDescent="0.25">
      <c r="B9" t="s">
        <v>205</v>
      </c>
    </row>
    <row r="10" spans="1:3" x14ac:dyDescent="0.25">
      <c r="B10" t="s">
        <v>206</v>
      </c>
    </row>
    <row r="11" spans="1:3" x14ac:dyDescent="0.25">
      <c r="A11">
        <v>4</v>
      </c>
      <c r="B11" t="s">
        <v>207</v>
      </c>
    </row>
    <row r="12" spans="1:3" x14ac:dyDescent="0.25">
      <c r="A12">
        <v>5</v>
      </c>
      <c r="B12" t="s">
        <v>208</v>
      </c>
    </row>
    <row r="13" spans="1:3" x14ac:dyDescent="0.25">
      <c r="A13">
        <v>6</v>
      </c>
      <c r="B13" t="s">
        <v>209</v>
      </c>
    </row>
    <row r="14" spans="1:3" x14ac:dyDescent="0.25">
      <c r="A14">
        <v>7</v>
      </c>
      <c r="B14" t="s">
        <v>210</v>
      </c>
    </row>
    <row r="15" spans="1:3" x14ac:dyDescent="0.25">
      <c r="A15">
        <v>8</v>
      </c>
      <c r="B15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2"/>
  <sheetViews>
    <sheetView workbookViewId="0">
      <selection activeCell="A13" sqref="A13"/>
    </sheetView>
  </sheetViews>
  <sheetFormatPr defaultColWidth="14.7109375" defaultRowHeight="15" x14ac:dyDescent="0.25"/>
  <cols>
    <col min="1" max="1" width="14.7109375" style="12"/>
    <col min="2" max="2" width="27.85546875" style="12" bestFit="1" customWidth="1"/>
    <col min="3" max="3" width="19.28515625" style="12" bestFit="1" customWidth="1"/>
    <col min="4" max="6" width="14.7109375" style="12"/>
    <col min="7" max="7" width="26.7109375" style="12" customWidth="1"/>
    <col min="8" max="16384" width="14.7109375" style="12"/>
  </cols>
  <sheetData>
    <row r="2" spans="1:9" x14ac:dyDescent="0.25">
      <c r="A2" s="345" t="s">
        <v>0</v>
      </c>
      <c r="B2" s="345"/>
      <c r="C2" s="345"/>
      <c r="D2" s="345"/>
      <c r="E2" s="345"/>
      <c r="F2" s="345"/>
      <c r="G2" s="345"/>
      <c r="H2" s="345"/>
      <c r="I2" s="345"/>
    </row>
    <row r="3" spans="1:9" x14ac:dyDescent="0.25">
      <c r="A3" s="13" t="s">
        <v>1</v>
      </c>
      <c r="B3" s="13" t="s">
        <v>2</v>
      </c>
      <c r="C3" s="13" t="s">
        <v>3</v>
      </c>
      <c r="D3" s="13" t="s">
        <v>4</v>
      </c>
      <c r="E3" s="14"/>
      <c r="F3" s="13" t="s">
        <v>1</v>
      </c>
      <c r="G3" s="13" t="s">
        <v>2</v>
      </c>
      <c r="H3" s="13" t="s">
        <v>3</v>
      </c>
      <c r="I3" s="13" t="s">
        <v>4</v>
      </c>
    </row>
    <row r="4" spans="1:9" x14ac:dyDescent="0.25">
      <c r="A4" s="15">
        <v>1</v>
      </c>
      <c r="B4" s="12" t="s">
        <v>5</v>
      </c>
      <c r="C4" s="12" t="s">
        <v>6</v>
      </c>
      <c r="D4" s="12">
        <f>31920540+47157270-17646683+4440957-1985702</f>
        <v>63886382</v>
      </c>
      <c r="F4" s="15">
        <v>1</v>
      </c>
      <c r="G4" s="12" t="s">
        <v>7</v>
      </c>
      <c r="H4" s="12" t="s">
        <v>8</v>
      </c>
      <c r="I4" s="12">
        <v>28950000</v>
      </c>
    </row>
    <row r="5" spans="1:9" x14ac:dyDescent="0.25">
      <c r="A5" s="15">
        <f>A4+1</f>
        <v>2</v>
      </c>
      <c r="B5" s="12" t="s">
        <v>9</v>
      </c>
      <c r="C5" s="12" t="s">
        <v>6</v>
      </c>
      <c r="D5" s="12">
        <v>113270120</v>
      </c>
      <c r="F5" s="15">
        <f>F4+1</f>
        <v>2</v>
      </c>
      <c r="G5" s="12" t="s">
        <v>10</v>
      </c>
      <c r="H5" s="12" t="s">
        <v>8</v>
      </c>
      <c r="I5" s="12">
        <v>44982541</v>
      </c>
    </row>
    <row r="6" spans="1:9" x14ac:dyDescent="0.25">
      <c r="A6" s="15">
        <f t="shared" ref="A6:A13" si="0">A5+1</f>
        <v>3</v>
      </c>
      <c r="B6" s="12" t="s">
        <v>11</v>
      </c>
      <c r="C6" s="12" t="s">
        <v>6</v>
      </c>
      <c r="D6" s="12">
        <v>41674608</v>
      </c>
      <c r="F6" s="15">
        <f t="shared" ref="F6:F13" si="1">F5+1</f>
        <v>3</v>
      </c>
      <c r="G6" s="12" t="s">
        <v>12</v>
      </c>
      <c r="H6" s="12" t="s">
        <v>8</v>
      </c>
      <c r="I6" s="12">
        <v>189449437</v>
      </c>
    </row>
    <row r="7" spans="1:9" x14ac:dyDescent="0.25">
      <c r="A7" s="15">
        <f t="shared" si="0"/>
        <v>4</v>
      </c>
      <c r="B7" s="12" t="s">
        <v>13</v>
      </c>
      <c r="C7" s="12" t="s">
        <v>6</v>
      </c>
      <c r="D7" s="12">
        <v>80000000</v>
      </c>
      <c r="F7" s="15">
        <f t="shared" si="1"/>
        <v>4</v>
      </c>
      <c r="G7" s="12" t="s">
        <v>14</v>
      </c>
      <c r="H7" s="12" t="s">
        <v>8</v>
      </c>
      <c r="I7" s="12">
        <v>16481200</v>
      </c>
    </row>
    <row r="8" spans="1:9" x14ac:dyDescent="0.25">
      <c r="A8" s="15">
        <f t="shared" si="0"/>
        <v>5</v>
      </c>
      <c r="B8" s="12" t="s">
        <v>15</v>
      </c>
      <c r="C8" s="12" t="s">
        <v>16</v>
      </c>
      <c r="D8" s="12">
        <v>0</v>
      </c>
      <c r="F8" s="15">
        <f t="shared" si="1"/>
        <v>5</v>
      </c>
      <c r="G8" s="12" t="s">
        <v>17</v>
      </c>
      <c r="H8" s="12" t="s">
        <v>8</v>
      </c>
      <c r="I8" s="12">
        <v>17500000</v>
      </c>
    </row>
    <row r="9" spans="1:9" x14ac:dyDescent="0.25">
      <c r="A9" s="15">
        <f t="shared" si="0"/>
        <v>6</v>
      </c>
      <c r="B9" s="12" t="s">
        <v>18</v>
      </c>
      <c r="C9" s="12" t="s">
        <v>6</v>
      </c>
      <c r="D9" s="12">
        <f>-333918+265866</f>
        <v>-68052</v>
      </c>
      <c r="F9" s="15">
        <f t="shared" si="1"/>
        <v>6</v>
      </c>
      <c r="G9" s="12" t="s">
        <v>19</v>
      </c>
      <c r="I9" s="12">
        <v>2051670</v>
      </c>
    </row>
    <row r="10" spans="1:9" x14ac:dyDescent="0.25">
      <c r="A10" s="15">
        <f t="shared" si="0"/>
        <v>7</v>
      </c>
      <c r="B10" s="12" t="s">
        <v>20</v>
      </c>
      <c r="C10" s="12" t="s">
        <v>6</v>
      </c>
      <c r="D10" s="12">
        <f>1692377+18866254</f>
        <v>20558631</v>
      </c>
      <c r="F10" s="15">
        <f t="shared" si="1"/>
        <v>7</v>
      </c>
      <c r="G10" s="12" t="s">
        <v>21</v>
      </c>
      <c r="H10" s="12" t="s">
        <v>8</v>
      </c>
      <c r="I10" s="12">
        <v>6750000</v>
      </c>
    </row>
    <row r="11" spans="1:9" x14ac:dyDescent="0.25">
      <c r="A11" s="15">
        <f t="shared" si="0"/>
        <v>8</v>
      </c>
      <c r="B11" s="12" t="s">
        <v>22</v>
      </c>
      <c r="C11" s="12" t="s">
        <v>23</v>
      </c>
      <c r="D11" s="12">
        <v>6892535</v>
      </c>
      <c r="F11" s="15">
        <f t="shared" si="1"/>
        <v>8</v>
      </c>
      <c r="G11" s="12" t="s">
        <v>24</v>
      </c>
      <c r="H11" s="12" t="s">
        <v>23</v>
      </c>
      <c r="I11" s="12">
        <v>150000</v>
      </c>
    </row>
    <row r="12" spans="1:9" x14ac:dyDescent="0.25">
      <c r="A12" s="15">
        <f t="shared" si="0"/>
        <v>9</v>
      </c>
      <c r="B12" s="12" t="s">
        <v>25</v>
      </c>
      <c r="D12" s="12">
        <v>-7800000</v>
      </c>
      <c r="F12" s="15">
        <f t="shared" si="1"/>
        <v>9</v>
      </c>
      <c r="G12" s="12" t="s">
        <v>26</v>
      </c>
      <c r="H12" s="12" t="s">
        <v>8</v>
      </c>
      <c r="I12" s="12">
        <v>7000000</v>
      </c>
    </row>
    <row r="13" spans="1:9" x14ac:dyDescent="0.25">
      <c r="A13" s="15">
        <f t="shared" si="0"/>
        <v>10</v>
      </c>
      <c r="B13" s="12" t="s">
        <v>27</v>
      </c>
      <c r="D13" s="12">
        <v>-2550000</v>
      </c>
      <c r="F13" s="15">
        <f t="shared" si="1"/>
        <v>10</v>
      </c>
      <c r="G13" s="12" t="s">
        <v>28</v>
      </c>
      <c r="I13" s="12">
        <v>-158000</v>
      </c>
    </row>
    <row r="14" spans="1:9" x14ac:dyDescent="0.25">
      <c r="A14" s="15">
        <v>11</v>
      </c>
      <c r="B14" s="12" t="s">
        <v>29</v>
      </c>
      <c r="D14" s="11">
        <v>-6113397</v>
      </c>
      <c r="F14" s="15"/>
    </row>
    <row r="15" spans="1:9" x14ac:dyDescent="0.25">
      <c r="A15" s="15"/>
      <c r="F15" s="15"/>
    </row>
    <row r="16" spans="1:9" x14ac:dyDescent="0.25">
      <c r="A16" s="15"/>
      <c r="F16" s="15"/>
    </row>
    <row r="17" spans="1:10" x14ac:dyDescent="0.25">
      <c r="A17" s="15"/>
      <c r="F17" s="15"/>
    </row>
    <row r="18" spans="1:10" x14ac:dyDescent="0.25">
      <c r="A18" s="15"/>
      <c r="F18" s="15"/>
    </row>
    <row r="19" spans="1:10" x14ac:dyDescent="0.25">
      <c r="A19" s="15"/>
      <c r="F19" s="15"/>
    </row>
    <row r="21" spans="1:10" ht="15.75" thickBot="1" x14ac:dyDescent="0.3">
      <c r="D21" s="16">
        <f>SUM(D4:D19)</f>
        <v>309750827</v>
      </c>
      <c r="I21" s="16">
        <f>SUM(I4:I19)</f>
        <v>313156848</v>
      </c>
      <c r="J21" s="12">
        <f>D21-I21</f>
        <v>-3406021</v>
      </c>
    </row>
    <row r="22" spans="1:10" ht="15.75" thickTop="1" x14ac:dyDescent="0.25"/>
  </sheetData>
  <mergeCells count="1">
    <mergeCell ref="A2:I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workbookViewId="0">
      <selection activeCell="C5" sqref="C5"/>
    </sheetView>
  </sheetViews>
  <sheetFormatPr defaultColWidth="14.7109375" defaultRowHeight="15" x14ac:dyDescent="0.25"/>
  <cols>
    <col min="1" max="1" width="14.7109375" style="12"/>
    <col min="2" max="2" width="26.28515625" style="12" bestFit="1" customWidth="1"/>
    <col min="3" max="3" width="14.7109375" style="12"/>
    <col min="4" max="4" width="15.42578125" style="12" bestFit="1" customWidth="1"/>
    <col min="5" max="6" width="14.7109375" style="12"/>
    <col min="7" max="7" width="25" style="12" bestFit="1" customWidth="1"/>
    <col min="8" max="16384" width="14.7109375" style="12"/>
  </cols>
  <sheetData>
    <row r="2" spans="1:9" x14ac:dyDescent="0.25">
      <c r="A2" s="345" t="s">
        <v>0</v>
      </c>
      <c r="B2" s="345"/>
      <c r="C2" s="345"/>
      <c r="D2" s="345"/>
      <c r="E2" s="345"/>
      <c r="F2" s="345"/>
      <c r="G2" s="345"/>
      <c r="H2" s="345"/>
      <c r="I2" s="345"/>
    </row>
    <row r="3" spans="1:9" x14ac:dyDescent="0.25">
      <c r="A3" s="13" t="s">
        <v>1</v>
      </c>
      <c r="B3" s="13" t="s">
        <v>2</v>
      </c>
      <c r="C3" s="13" t="s">
        <v>3</v>
      </c>
      <c r="D3" s="13" t="s">
        <v>4</v>
      </c>
      <c r="E3" s="14"/>
      <c r="F3" s="13" t="s">
        <v>1</v>
      </c>
      <c r="G3" s="13" t="s">
        <v>2</v>
      </c>
      <c r="H3" s="13" t="s">
        <v>3</v>
      </c>
      <c r="I3" s="13" t="s">
        <v>4</v>
      </c>
    </row>
    <row r="4" spans="1:9" x14ac:dyDescent="0.25">
      <c r="A4" s="15">
        <v>1</v>
      </c>
      <c r="B4" s="12" t="s">
        <v>30</v>
      </c>
      <c r="C4" s="12" t="s">
        <v>6</v>
      </c>
      <c r="D4" s="12">
        <f>16588264+12257627-758271</f>
        <v>28087620</v>
      </c>
      <c r="F4" s="15">
        <v>1</v>
      </c>
    </row>
    <row r="5" spans="1:9" x14ac:dyDescent="0.25">
      <c r="A5" s="15">
        <f>A4+1</f>
        <v>2</v>
      </c>
      <c r="B5" s="12" t="s">
        <v>5</v>
      </c>
      <c r="C5" s="12" t="s">
        <v>31</v>
      </c>
      <c r="D5" s="12">
        <f>'[1]Balance Sheet RN'!I4</f>
        <v>28950000</v>
      </c>
      <c r="F5" s="15">
        <f>F4+1</f>
        <v>2</v>
      </c>
      <c r="G5" s="12" t="s">
        <v>32</v>
      </c>
      <c r="H5" s="12" t="s">
        <v>8</v>
      </c>
      <c r="I5" s="12">
        <f>276135000-'[1]Balance Sheet RN'!I6-'[1]Balance Sheet RN'!I7</f>
        <v>70204363</v>
      </c>
    </row>
    <row r="6" spans="1:9" x14ac:dyDescent="0.25">
      <c r="A6" s="15">
        <f t="shared" ref="A6:A13" si="0">A5+1</f>
        <v>3</v>
      </c>
      <c r="B6" s="12" t="s">
        <v>9</v>
      </c>
      <c r="C6" s="12" t="s">
        <v>33</v>
      </c>
      <c r="D6" s="12">
        <v>25000</v>
      </c>
      <c r="F6" s="15">
        <f t="shared" ref="F6:F13" si="1">F5+1</f>
        <v>3</v>
      </c>
      <c r="G6" s="12" t="s">
        <v>34</v>
      </c>
      <c r="H6" s="12" t="s">
        <v>8</v>
      </c>
      <c r="I6" s="12">
        <v>44000000</v>
      </c>
    </row>
    <row r="7" spans="1:9" x14ac:dyDescent="0.25">
      <c r="A7" s="15">
        <f t="shared" si="0"/>
        <v>4</v>
      </c>
      <c r="B7" s="12" t="s">
        <v>11</v>
      </c>
      <c r="C7" s="12" t="s">
        <v>6</v>
      </c>
      <c r="D7" s="12">
        <v>25000</v>
      </c>
      <c r="F7" s="15">
        <f t="shared" si="1"/>
        <v>4</v>
      </c>
      <c r="G7" s="12" t="s">
        <v>35</v>
      </c>
      <c r="I7" s="12">
        <v>2360000</v>
      </c>
    </row>
    <row r="8" spans="1:9" x14ac:dyDescent="0.25">
      <c r="A8" s="15">
        <f t="shared" si="0"/>
        <v>5</v>
      </c>
      <c r="B8" s="12" t="s">
        <v>36</v>
      </c>
      <c r="C8" s="12" t="s">
        <v>33</v>
      </c>
      <c r="D8" s="12">
        <v>50000</v>
      </c>
      <c r="F8" s="15">
        <f t="shared" si="1"/>
        <v>5</v>
      </c>
      <c r="G8" s="12" t="s">
        <v>37</v>
      </c>
    </row>
    <row r="9" spans="1:9" x14ac:dyDescent="0.25">
      <c r="A9" s="15">
        <f t="shared" si="0"/>
        <v>6</v>
      </c>
      <c r="B9" s="12" t="s">
        <v>15</v>
      </c>
      <c r="C9" s="12" t="s">
        <v>16</v>
      </c>
      <c r="D9" s="12">
        <v>0</v>
      </c>
      <c r="F9" s="15">
        <f t="shared" si="1"/>
        <v>6</v>
      </c>
    </row>
    <row r="10" spans="1:9" x14ac:dyDescent="0.25">
      <c r="A10" s="15">
        <f t="shared" si="0"/>
        <v>7</v>
      </c>
      <c r="B10" s="12" t="s">
        <v>38</v>
      </c>
      <c r="C10" s="12" t="s">
        <v>6</v>
      </c>
      <c r="D10" s="12">
        <v>48000000</v>
      </c>
      <c r="F10" s="15">
        <f t="shared" si="1"/>
        <v>7</v>
      </c>
    </row>
    <row r="11" spans="1:9" x14ac:dyDescent="0.25">
      <c r="A11" s="15">
        <f t="shared" si="0"/>
        <v>8</v>
      </c>
      <c r="B11" s="12" t="s">
        <v>39</v>
      </c>
      <c r="C11" s="12" t="s">
        <v>6</v>
      </c>
      <c r="D11" s="12">
        <f>1336905</f>
        <v>1336905</v>
      </c>
      <c r="F11" s="15">
        <f t="shared" si="1"/>
        <v>8</v>
      </c>
    </row>
    <row r="12" spans="1:9" x14ac:dyDescent="0.25">
      <c r="A12" s="15">
        <f t="shared" si="0"/>
        <v>9</v>
      </c>
      <c r="B12" s="12" t="s">
        <v>40</v>
      </c>
      <c r="C12" s="12" t="s">
        <v>6</v>
      </c>
      <c r="D12" s="12">
        <v>8000000</v>
      </c>
      <c r="F12" s="15">
        <f t="shared" si="1"/>
        <v>9</v>
      </c>
    </row>
    <row r="13" spans="1:9" x14ac:dyDescent="0.25">
      <c r="A13" s="15">
        <f t="shared" si="0"/>
        <v>10</v>
      </c>
      <c r="B13" s="12" t="s">
        <v>25</v>
      </c>
      <c r="D13" s="12">
        <f>-2000000-1500000</f>
        <v>-3500000</v>
      </c>
      <c r="F13" s="15">
        <f t="shared" si="1"/>
        <v>10</v>
      </c>
    </row>
    <row r="14" spans="1:9" x14ac:dyDescent="0.25">
      <c r="A14" s="15">
        <v>11</v>
      </c>
      <c r="F14" s="15">
        <v>11</v>
      </c>
    </row>
    <row r="15" spans="1:9" x14ac:dyDescent="0.25">
      <c r="A15" s="15">
        <v>12</v>
      </c>
      <c r="D15" s="11"/>
      <c r="F15" s="15">
        <v>12</v>
      </c>
    </row>
    <row r="16" spans="1:9" x14ac:dyDescent="0.25">
      <c r="A16" s="15"/>
      <c r="F16" s="15"/>
    </row>
    <row r="17" spans="1:11" x14ac:dyDescent="0.25">
      <c r="A17" s="15"/>
      <c r="F17" s="15"/>
    </row>
    <row r="18" spans="1:11" x14ac:dyDescent="0.25">
      <c r="A18" s="15"/>
      <c r="F18" s="15"/>
    </row>
    <row r="19" spans="1:11" x14ac:dyDescent="0.25">
      <c r="A19" s="15"/>
      <c r="F19" s="15"/>
    </row>
    <row r="21" spans="1:11" ht="15.75" thickBot="1" x14ac:dyDescent="0.3">
      <c r="D21" s="16">
        <f>SUM(D4:D19)</f>
        <v>110974525</v>
      </c>
      <c r="I21" s="16">
        <f>SUM(I4:I19)</f>
        <v>116564363</v>
      </c>
      <c r="K21" s="12">
        <f>I21-D21</f>
        <v>5589838</v>
      </c>
    </row>
    <row r="22" spans="1:11" ht="15.75" thickTop="1" x14ac:dyDescent="0.25"/>
    <row r="26" spans="1:11" x14ac:dyDescent="0.25">
      <c r="D26" s="12">
        <f>D21-D5</f>
        <v>82024525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4"/>
  <sheetViews>
    <sheetView zoomScale="88" zoomScaleNormal="120" workbookViewId="0">
      <selection activeCell="M39" sqref="M39"/>
    </sheetView>
  </sheetViews>
  <sheetFormatPr defaultColWidth="9.140625" defaultRowHeight="15" customHeight="1" x14ac:dyDescent="0.25"/>
  <cols>
    <col min="1" max="1" width="33.42578125" style="3" customWidth="1"/>
    <col min="2" max="2" width="17.140625" style="4" bestFit="1" customWidth="1"/>
    <col min="3" max="3" width="9.140625" style="3" customWidth="1"/>
    <col min="4" max="4" width="4.42578125" style="3" customWidth="1"/>
    <col min="5" max="5" width="4.140625" style="3" customWidth="1"/>
    <col min="6" max="6" width="25.140625" style="3" customWidth="1"/>
    <col min="7" max="7" width="20.7109375" style="3" customWidth="1"/>
    <col min="8" max="8" width="9.140625" style="3" customWidth="1"/>
    <col min="9" max="9" width="4.42578125" style="3" customWidth="1"/>
    <col min="10" max="10" width="4.85546875" style="3" customWidth="1"/>
    <col min="11" max="11" width="14.42578125" style="3" customWidth="1"/>
    <col min="12" max="12" width="19" style="3" customWidth="1"/>
    <col min="13" max="13" width="9.140625" style="3" customWidth="1"/>
    <col min="14" max="14" width="16.42578125" style="3" bestFit="1" customWidth="1"/>
    <col min="15" max="15" width="16.7109375" style="3" bestFit="1" customWidth="1"/>
    <col min="16" max="16" width="21.85546875" style="3" bestFit="1" customWidth="1"/>
    <col min="17" max="17" width="24.28515625" style="3" bestFit="1" customWidth="1"/>
    <col min="18" max="18" width="19.28515625" style="3" customWidth="1"/>
    <col min="19" max="22" width="17.42578125" style="3" customWidth="1"/>
    <col min="23" max="23" width="9.140625" style="3" customWidth="1"/>
    <col min="24" max="24" width="20.140625" style="3" customWidth="1"/>
    <col min="25" max="25" width="9.140625" style="3" customWidth="1"/>
    <col min="26" max="26" width="24.42578125" style="3" bestFit="1" customWidth="1"/>
    <col min="27" max="27" width="17.140625" style="3" bestFit="1" customWidth="1"/>
    <col min="28" max="28" width="5.85546875" style="3" bestFit="1" customWidth="1"/>
    <col min="29" max="30" width="9.140625" style="3"/>
    <col min="31" max="31" width="94.42578125" style="3" bestFit="1" customWidth="1"/>
    <col min="32" max="32" width="17.140625" style="3" bestFit="1" customWidth="1"/>
    <col min="33" max="33" width="9.85546875" style="3" bestFit="1" customWidth="1"/>
    <col min="34" max="35" width="9.140625" style="3"/>
    <col min="36" max="36" width="50.140625" style="3" bestFit="1" customWidth="1"/>
    <col min="37" max="37" width="17.140625" style="3" bestFit="1" customWidth="1"/>
    <col min="38" max="38" width="10" style="3" bestFit="1" customWidth="1"/>
    <col min="39" max="16384" width="9.140625" style="3"/>
  </cols>
  <sheetData>
    <row r="1" spans="1:38" ht="15" customHeight="1" x14ac:dyDescent="0.25">
      <c r="A1" s="1" t="s">
        <v>63</v>
      </c>
      <c r="B1" s="2"/>
      <c r="C1" s="1"/>
      <c r="F1" s="1" t="s">
        <v>79</v>
      </c>
      <c r="G1" s="1"/>
      <c r="H1" s="1"/>
      <c r="K1" s="1"/>
      <c r="L1" s="1"/>
      <c r="M1" s="1"/>
      <c r="Q1" s="1"/>
      <c r="R1" s="1"/>
      <c r="S1" s="1"/>
      <c r="T1" s="1"/>
      <c r="AE1" s="3" t="s">
        <v>185</v>
      </c>
    </row>
    <row r="2" spans="1:38" ht="15" customHeight="1" x14ac:dyDescent="0.25">
      <c r="Q2" s="6"/>
      <c r="R2" s="112"/>
      <c r="S2" s="80"/>
      <c r="T2" s="80"/>
    </row>
    <row r="3" spans="1:38" ht="15" customHeight="1" x14ac:dyDescent="0.25">
      <c r="A3" s="3" t="s">
        <v>61</v>
      </c>
      <c r="B3" s="4">
        <f>'Networth Inputs - old'!Q4</f>
        <v>898872543.95014167</v>
      </c>
      <c r="C3" s="5">
        <f>B3/$B$5</f>
        <v>1.0811910382309282</v>
      </c>
      <c r="D3" s="5"/>
      <c r="K3" s="84"/>
      <c r="L3" s="85"/>
      <c r="M3" s="85"/>
      <c r="N3" s="108"/>
    </row>
    <row r="4" spans="1:38" ht="15" customHeight="1" x14ac:dyDescent="0.25">
      <c r="A4" s="3" t="s">
        <v>62</v>
      </c>
      <c r="B4" s="4">
        <f>'Networth Inputs - old'!Q5</f>
        <v>67500000</v>
      </c>
      <c r="C4" s="5">
        <f>B4/$B$5</f>
        <v>8.1191038230928214E-2</v>
      </c>
      <c r="D4" s="5"/>
      <c r="K4" s="86"/>
      <c r="L4" s="87"/>
      <c r="M4" s="88"/>
      <c r="N4" s="110"/>
      <c r="P4" s="107"/>
      <c r="Q4" s="8"/>
      <c r="R4" s="113"/>
      <c r="S4" s="114"/>
      <c r="T4" s="114"/>
      <c r="U4" s="5"/>
      <c r="V4" s="5"/>
    </row>
    <row r="5" spans="1:38" ht="15" customHeight="1" thickBot="1" x14ac:dyDescent="0.3">
      <c r="A5" s="8" t="s">
        <v>63</v>
      </c>
      <c r="B5" s="9">
        <f>'Networth Inputs - old'!Q6</f>
        <v>831372543.95014167</v>
      </c>
      <c r="K5" s="86"/>
      <c r="L5" s="87"/>
      <c r="M5" s="88"/>
      <c r="N5" s="110"/>
      <c r="P5" s="107"/>
      <c r="Q5" s="27"/>
      <c r="R5" s="4"/>
      <c r="S5" s="5"/>
      <c r="T5" s="5"/>
      <c r="U5" s="5"/>
      <c r="V5" s="5"/>
      <c r="Z5" s="1" t="s">
        <v>181</v>
      </c>
      <c r="AA5" s="1"/>
      <c r="AB5" s="1"/>
      <c r="AE5" s="1" t="s">
        <v>6</v>
      </c>
      <c r="AF5" s="1"/>
      <c r="AG5" s="1"/>
      <c r="AJ5" s="1" t="s">
        <v>16</v>
      </c>
      <c r="AK5" s="1"/>
      <c r="AL5" s="1"/>
    </row>
    <row r="6" spans="1:38" ht="15" customHeight="1" thickTop="1" x14ac:dyDescent="0.25">
      <c r="K6" s="86"/>
      <c r="L6" s="87"/>
      <c r="M6" s="88"/>
      <c r="N6" s="110"/>
      <c r="P6" s="4"/>
      <c r="Q6" s="27"/>
      <c r="R6" s="4"/>
      <c r="S6" s="5"/>
      <c r="T6" s="5"/>
      <c r="U6" s="5"/>
      <c r="V6" s="5"/>
    </row>
    <row r="7" spans="1:38" ht="15" customHeight="1" x14ac:dyDescent="0.25">
      <c r="K7" s="86"/>
      <c r="L7" s="87"/>
      <c r="M7" s="88"/>
      <c r="N7" s="110"/>
      <c r="Q7" s="74"/>
      <c r="R7" s="4"/>
      <c r="S7" s="5"/>
      <c r="T7" s="5"/>
      <c r="Z7" s="3" t="s">
        <v>6</v>
      </c>
      <c r="AA7" s="4" t="e">
        <f>VLOOKUP("Equity",$P$3:$Q$9,2,FALSE)</f>
        <v>#N/A</v>
      </c>
      <c r="AB7" s="5" t="e">
        <f>AA7/$AA$11</f>
        <v>#N/A</v>
      </c>
      <c r="AE7" s="12" t="s">
        <v>68</v>
      </c>
      <c r="AF7" s="4">
        <f>VLOOKUP(AE7,'Networth Inputs - old'!$C$4:$E$53,3,FALSE)</f>
        <v>86524103.85014157</v>
      </c>
      <c r="AG7" s="5" t="e">
        <f>AF7/$AF$18</f>
        <v>#N/A</v>
      </c>
      <c r="AJ7" s="12" t="s">
        <v>46</v>
      </c>
      <c r="AK7" s="4" t="e">
        <f>VLOOKUP(AJ7,'Networth Inputs - old'!$C$4:$E$53,3,FALSE)</f>
        <v>#N/A</v>
      </c>
      <c r="AL7" s="5" t="e">
        <f>AK7/$AK$26</f>
        <v>#N/A</v>
      </c>
    </row>
    <row r="8" spans="1:38" ht="15" customHeight="1" x14ac:dyDescent="0.25">
      <c r="K8" s="86"/>
      <c r="L8" s="87"/>
      <c r="M8" s="88"/>
      <c r="N8" s="110"/>
      <c r="P8" s="94"/>
      <c r="Q8" s="74"/>
      <c r="R8" s="4"/>
      <c r="S8" s="5"/>
      <c r="T8" s="5"/>
      <c r="Z8" s="3" t="s">
        <v>16</v>
      </c>
      <c r="AA8" s="4"/>
      <c r="AB8" s="5"/>
      <c r="AE8" s="12" t="s">
        <v>123</v>
      </c>
      <c r="AF8" s="4">
        <f>VLOOKUP(AE8,'Networth Inputs - old'!$C$4:$E$53,3,FALSE)</f>
        <v>0</v>
      </c>
      <c r="AG8" s="5" t="e">
        <f t="shared" ref="AG8:AG14" si="0">AF8/$AF$18</f>
        <v>#N/A</v>
      </c>
      <c r="AJ8" s="12" t="s">
        <v>47</v>
      </c>
      <c r="AK8" s="4">
        <f>VLOOKUP(AJ8,'Networth Inputs - old'!$C$4:$E$53,3,FALSE)</f>
        <v>3000000</v>
      </c>
      <c r="AL8" s="5" t="e">
        <f t="shared" ref="AL8:AL22" si="1">AK8/$AK$26</f>
        <v>#N/A</v>
      </c>
    </row>
    <row r="9" spans="1:38" ht="15" customHeight="1" x14ac:dyDescent="0.25">
      <c r="A9" s="1"/>
      <c r="B9" s="1"/>
      <c r="C9" s="1"/>
      <c r="F9" s="102"/>
      <c r="K9" s="86"/>
      <c r="L9" s="87"/>
      <c r="M9" s="88"/>
      <c r="N9" s="110"/>
      <c r="P9" s="94"/>
      <c r="Q9" s="74"/>
      <c r="R9" s="4"/>
      <c r="S9" s="5"/>
      <c r="T9" s="5"/>
      <c r="Z9" s="3" t="s">
        <v>182</v>
      </c>
      <c r="AA9" s="29">
        <f>17*100*97873</f>
        <v>166384100</v>
      </c>
      <c r="AB9" s="5" t="e">
        <f>AA9/$AA$11</f>
        <v>#N/A</v>
      </c>
      <c r="AE9" s="12" t="s">
        <v>69</v>
      </c>
      <c r="AF9" s="4">
        <f>VLOOKUP(AE9,'Networth Inputs - old'!$C$4:$E$53,3,FALSE)</f>
        <v>14852</v>
      </c>
      <c r="AG9" s="5" t="e">
        <f t="shared" si="0"/>
        <v>#N/A</v>
      </c>
      <c r="AJ9" s="12" t="s">
        <v>48</v>
      </c>
      <c r="AK9" s="4" t="e">
        <f>VLOOKUP(AJ9,'Networth Inputs - old'!$C$4:$E$53,3,FALSE)</f>
        <v>#N/A</v>
      </c>
      <c r="AL9" s="5" t="e">
        <f t="shared" si="1"/>
        <v>#N/A</v>
      </c>
    </row>
    <row r="10" spans="1:38" ht="15" customHeight="1" x14ac:dyDescent="0.25">
      <c r="B10" s="3"/>
      <c r="K10" s="86"/>
      <c r="L10" s="87"/>
      <c r="M10" s="88"/>
      <c r="N10" s="110"/>
      <c r="Q10" s="74"/>
      <c r="R10" s="4"/>
      <c r="S10" s="5"/>
      <c r="T10" s="5"/>
      <c r="AE10" s="12" t="s">
        <v>70</v>
      </c>
      <c r="AF10" s="4">
        <f>VLOOKUP(AE10,'Networth Inputs - old'!$C$4:$E$53,3,FALSE)</f>
        <v>24489025.539999999</v>
      </c>
      <c r="AG10" s="5" t="e">
        <f t="shared" si="0"/>
        <v>#N/A</v>
      </c>
      <c r="AJ10" s="12" t="s">
        <v>49</v>
      </c>
      <c r="AK10" s="4" t="e">
        <f>VLOOKUP(AJ10,'Networth Inputs - old'!$C$4:$E$53,3,FALSE)</f>
        <v>#N/A</v>
      </c>
      <c r="AL10" s="5" t="e">
        <f t="shared" si="1"/>
        <v>#N/A</v>
      </c>
    </row>
    <row r="11" spans="1:38" ht="15" customHeight="1" x14ac:dyDescent="0.25">
      <c r="A11" s="84"/>
      <c r="B11" s="85"/>
      <c r="C11" s="85"/>
      <c r="K11" s="86"/>
      <c r="L11" s="87"/>
      <c r="M11" s="88"/>
      <c r="N11" s="110"/>
      <c r="Q11" s="74"/>
      <c r="R11" s="4"/>
      <c r="S11" s="5"/>
      <c r="T11" s="5"/>
      <c r="Z11" s="33" t="s">
        <v>158</v>
      </c>
      <c r="AA11" s="10" t="e">
        <f>SUM(AA7:AA9)</f>
        <v>#N/A</v>
      </c>
      <c r="AB11" s="34" t="e">
        <f>AA11/AA11</f>
        <v>#N/A</v>
      </c>
      <c r="AE11" s="12" t="s">
        <v>71</v>
      </c>
      <c r="AF11" s="4">
        <f>VLOOKUP(AE11,'Networth Inputs - old'!$C$4:$E$53,3,FALSE)</f>
        <v>299945688.54000002</v>
      </c>
      <c r="AG11" s="5" t="e">
        <f t="shared" si="0"/>
        <v>#N/A</v>
      </c>
      <c r="AJ11" s="12" t="s">
        <v>140</v>
      </c>
      <c r="AK11" s="4">
        <f>VLOOKUP(AJ11,'Networth Inputs - old'!$C$4:$E$53,3,FALSE)</f>
        <v>31500000</v>
      </c>
      <c r="AL11" s="5" t="e">
        <f t="shared" si="1"/>
        <v>#N/A</v>
      </c>
    </row>
    <row r="12" spans="1:38" ht="15" customHeight="1" x14ac:dyDescent="0.25">
      <c r="A12" s="86"/>
      <c r="B12" s="87"/>
      <c r="C12" s="88"/>
      <c r="K12" s="86"/>
      <c r="L12" s="87"/>
      <c r="M12" s="88"/>
      <c r="N12" s="110"/>
      <c r="Q12" s="74"/>
      <c r="R12" s="4"/>
      <c r="S12" s="5"/>
      <c r="T12" s="5"/>
      <c r="AE12" s="12" t="s">
        <v>44</v>
      </c>
      <c r="AF12" s="4">
        <f>VLOOKUP(AE12,'Networth Inputs - old'!$C$4:$E$53,3,FALSE)</f>
        <v>15368350</v>
      </c>
      <c r="AG12" s="5" t="e">
        <f t="shared" si="0"/>
        <v>#N/A</v>
      </c>
      <c r="AJ12" s="12" t="s">
        <v>50</v>
      </c>
      <c r="AK12" s="4" t="e">
        <f>VLOOKUP(AJ12,'Networth Inputs - old'!$C$4:$E$53,3,FALSE)</f>
        <v>#N/A</v>
      </c>
      <c r="AL12" s="5" t="e">
        <f t="shared" si="1"/>
        <v>#N/A</v>
      </c>
    </row>
    <row r="13" spans="1:38" ht="15" customHeight="1" x14ac:dyDescent="0.25">
      <c r="A13" s="86"/>
      <c r="B13" s="87"/>
      <c r="C13" s="88"/>
      <c r="K13" s="86"/>
      <c r="L13" s="87"/>
      <c r="M13" s="88"/>
      <c r="N13" s="110"/>
      <c r="Q13" s="74"/>
      <c r="R13" s="4"/>
      <c r="S13" s="5"/>
      <c r="T13" s="5"/>
      <c r="Z13" s="6" t="s">
        <v>183</v>
      </c>
      <c r="AA13" s="6"/>
      <c r="AB13" s="6" t="e">
        <f>AA11/B5</f>
        <v>#N/A</v>
      </c>
      <c r="AE13" s="12" t="s">
        <v>45</v>
      </c>
      <c r="AF13" s="4" t="e">
        <f>VLOOKUP(AE13,'Networth Inputs - old'!$C$4:$E$53,3,FALSE)</f>
        <v>#N/A</v>
      </c>
      <c r="AG13" s="5" t="e">
        <f t="shared" si="0"/>
        <v>#N/A</v>
      </c>
      <c r="AJ13" s="12" t="s">
        <v>77</v>
      </c>
      <c r="AK13" s="4">
        <f>VLOOKUP(AJ13,'Networth Inputs - old'!$C$4:$E$53,3,FALSE)</f>
        <v>5881036</v>
      </c>
      <c r="AL13" s="5" t="e">
        <f t="shared" si="1"/>
        <v>#N/A</v>
      </c>
    </row>
    <row r="14" spans="1:38" ht="15" customHeight="1" x14ac:dyDescent="0.25">
      <c r="A14" s="86"/>
      <c r="B14" s="87"/>
      <c r="C14" s="88"/>
      <c r="K14" s="86"/>
      <c r="L14" s="87"/>
      <c r="M14" s="88"/>
      <c r="N14" s="110"/>
      <c r="Q14" s="23"/>
      <c r="R14" s="4"/>
      <c r="S14" s="5"/>
      <c r="T14" s="5"/>
      <c r="Z14" s="6" t="s">
        <v>184</v>
      </c>
      <c r="AA14" s="6"/>
      <c r="AB14" s="6" t="e">
        <f>AA11/B3</f>
        <v>#N/A</v>
      </c>
      <c r="AE14" s="12" t="s">
        <v>51</v>
      </c>
      <c r="AF14" s="4">
        <f>VLOOKUP(AE14,'Networth Inputs - old'!$C$4:$E$53,3,FALSE)</f>
        <v>6092676</v>
      </c>
      <c r="AG14" s="5" t="e">
        <f t="shared" si="0"/>
        <v>#N/A</v>
      </c>
      <c r="AJ14" s="12" t="s">
        <v>52</v>
      </c>
      <c r="AK14" s="4">
        <f>VLOOKUP(AJ14,'Networth Inputs - old'!$C$4:$E$53,3,FALSE)</f>
        <v>1550293</v>
      </c>
      <c r="AL14" s="5" t="e">
        <f t="shared" si="1"/>
        <v>#N/A</v>
      </c>
    </row>
    <row r="15" spans="1:38" ht="15" customHeight="1" x14ac:dyDescent="0.25">
      <c r="A15" s="86"/>
      <c r="B15" s="87"/>
      <c r="C15" s="88"/>
      <c r="K15" s="89"/>
      <c r="L15" s="90"/>
      <c r="M15" s="91"/>
      <c r="N15" s="111"/>
      <c r="Q15" s="23"/>
      <c r="R15" s="4"/>
      <c r="S15" s="5"/>
      <c r="T15" s="5"/>
      <c r="AJ15" s="12" t="s">
        <v>53</v>
      </c>
      <c r="AK15" s="4">
        <f>VLOOKUP(AJ15,'Networth Inputs - old'!$C$4:$E$53,3,FALSE)</f>
        <v>4287189</v>
      </c>
      <c r="AL15" s="5" t="e">
        <f t="shared" si="1"/>
        <v>#N/A</v>
      </c>
    </row>
    <row r="16" spans="1:38" ht="15" customHeight="1" x14ac:dyDescent="0.25">
      <c r="A16" s="89"/>
      <c r="B16" s="90"/>
      <c r="C16" s="91"/>
      <c r="AJ16" s="12" t="s">
        <v>54</v>
      </c>
      <c r="AK16" s="4" t="e">
        <f>VLOOKUP(AJ16,'Networth Inputs - old'!$C$4:$E$53,3,FALSE)</f>
        <v>#N/A</v>
      </c>
      <c r="AL16" s="5" t="e">
        <f t="shared" si="1"/>
        <v>#N/A</v>
      </c>
    </row>
    <row r="17" spans="1:38" ht="15" customHeight="1" x14ac:dyDescent="0.25">
      <c r="D17" s="7"/>
      <c r="AJ17" s="12" t="s">
        <v>55</v>
      </c>
      <c r="AK17" s="4">
        <f>VLOOKUP(AJ17,'Networth Inputs - old'!$C$4:$E$53,3,FALSE)</f>
        <v>0</v>
      </c>
      <c r="AL17" s="5" t="e">
        <f t="shared" si="1"/>
        <v>#N/A</v>
      </c>
    </row>
    <row r="18" spans="1:38" ht="15" customHeight="1" x14ac:dyDescent="0.25">
      <c r="D18" s="7"/>
      <c r="AE18" s="33" t="s">
        <v>158</v>
      </c>
      <c r="AF18" s="10" t="e">
        <f>SUM(AF7:AF16)</f>
        <v>#N/A</v>
      </c>
      <c r="AG18" s="34" t="e">
        <f t="shared" ref="AG18" si="2">AF18/$AF$18</f>
        <v>#N/A</v>
      </c>
      <c r="AJ18" s="12" t="s">
        <v>67</v>
      </c>
      <c r="AK18" s="4">
        <f>VLOOKUP(AJ18,'Networth Inputs - old'!$C$4:$E$53,3,FALSE)</f>
        <v>23500000</v>
      </c>
      <c r="AL18" s="5" t="e">
        <f t="shared" si="1"/>
        <v>#N/A</v>
      </c>
    </row>
    <row r="19" spans="1:38" ht="15" customHeight="1" x14ac:dyDescent="0.25">
      <c r="D19" s="7"/>
      <c r="Q19" s="115"/>
      <c r="R19" s="113"/>
      <c r="S19" s="114"/>
      <c r="T19" s="114"/>
      <c r="AJ19" s="12" t="s">
        <v>72</v>
      </c>
      <c r="AK19" s="4">
        <f>VLOOKUP(AJ19,'Networth Inputs - old'!$C$4:$E$53,3,FALSE)</f>
        <v>0</v>
      </c>
      <c r="AL19" s="5" t="e">
        <f t="shared" si="1"/>
        <v>#N/A</v>
      </c>
    </row>
    <row r="20" spans="1:38" ht="15" customHeight="1" x14ac:dyDescent="0.25">
      <c r="D20" s="7"/>
      <c r="R20" s="4"/>
      <c r="S20" s="5"/>
      <c r="T20" s="5"/>
      <c r="AJ20" s="12" t="s">
        <v>73</v>
      </c>
      <c r="AK20" s="4">
        <f>VLOOKUP(AJ20,'Networth Inputs - old'!$C$4:$E$53,3,FALSE)</f>
        <v>0</v>
      </c>
      <c r="AL20" s="5" t="e">
        <f t="shared" si="1"/>
        <v>#N/A</v>
      </c>
    </row>
    <row r="21" spans="1:38" ht="15" customHeight="1" x14ac:dyDescent="0.25">
      <c r="D21" s="7"/>
      <c r="R21" s="4"/>
      <c r="S21" s="5"/>
      <c r="T21" s="5"/>
      <c r="AE21" s="3" t="s">
        <v>186</v>
      </c>
      <c r="AJ21" s="12" t="s">
        <v>74</v>
      </c>
      <c r="AK21" s="4">
        <f>VLOOKUP(AJ21,'Networth Inputs - old'!$C$4:$E$53,3,FALSE)</f>
        <v>151543569</v>
      </c>
      <c r="AL21" s="5" t="e">
        <f t="shared" si="1"/>
        <v>#N/A</v>
      </c>
    </row>
    <row r="22" spans="1:38" ht="15" customHeight="1" x14ac:dyDescent="0.25">
      <c r="A22" s="1"/>
      <c r="B22" s="1"/>
      <c r="C22" s="1"/>
      <c r="AJ22" s="3" t="s">
        <v>187</v>
      </c>
      <c r="AK22" s="4">
        <f>AA9</f>
        <v>166384100</v>
      </c>
      <c r="AL22" s="5" t="e">
        <f t="shared" si="1"/>
        <v>#N/A</v>
      </c>
    </row>
    <row r="23" spans="1:38" ht="15" customHeight="1" x14ac:dyDescent="0.25">
      <c r="B23" s="3"/>
      <c r="Q23" s="106"/>
    </row>
    <row r="24" spans="1:38" ht="15" customHeight="1" thickBot="1" x14ac:dyDescent="0.3">
      <c r="A24" s="84"/>
      <c r="B24" s="85"/>
      <c r="C24" s="85"/>
      <c r="K24" s="6"/>
      <c r="L24" s="64"/>
    </row>
    <row r="25" spans="1:38" ht="15" customHeight="1" thickBot="1" x14ac:dyDescent="0.3">
      <c r="A25" s="86"/>
      <c r="B25" s="87"/>
      <c r="C25" s="88"/>
      <c r="K25" s="6"/>
      <c r="L25" s="64"/>
      <c r="Q25" s="116"/>
      <c r="R25" s="117"/>
    </row>
    <row r="26" spans="1:38" ht="15" customHeight="1" x14ac:dyDescent="0.25">
      <c r="A26" s="86"/>
      <c r="B26" s="87"/>
      <c r="C26" s="88"/>
      <c r="K26" s="6"/>
      <c r="L26" s="80"/>
      <c r="AJ26" s="33" t="s">
        <v>158</v>
      </c>
      <c r="AK26" s="10" t="e">
        <f>SUM(AK7:AK24)</f>
        <v>#N/A</v>
      </c>
      <c r="AL26" s="5" t="e">
        <f t="shared" ref="AL26" si="3">AK26/$AK$26</f>
        <v>#N/A</v>
      </c>
    </row>
    <row r="27" spans="1:38" ht="15" customHeight="1" x14ac:dyDescent="0.25">
      <c r="A27" s="86"/>
      <c r="B27" s="87"/>
      <c r="C27" s="88"/>
      <c r="F27"/>
      <c r="G27"/>
      <c r="H27"/>
      <c r="K27" s="6"/>
      <c r="L27" s="80"/>
    </row>
    <row r="28" spans="1:38" ht="15" customHeight="1" x14ac:dyDescent="0.25">
      <c r="A28" s="86"/>
      <c r="B28" s="87"/>
      <c r="C28" s="88"/>
    </row>
    <row r="29" spans="1:38" ht="15" customHeight="1" x14ac:dyDescent="0.25">
      <c r="A29" s="86"/>
      <c r="B29" s="87"/>
      <c r="C29" s="88"/>
    </row>
    <row r="30" spans="1:38" ht="15" customHeight="1" x14ac:dyDescent="0.25">
      <c r="A30" s="86"/>
      <c r="B30" s="87"/>
      <c r="C30" s="88"/>
      <c r="K30" s="1" t="s">
        <v>188</v>
      </c>
      <c r="L30" s="1"/>
      <c r="M30" s="1"/>
      <c r="N30" s="1"/>
      <c r="O30" s="1"/>
      <c r="Q30" s="126" t="s">
        <v>298</v>
      </c>
      <c r="R30" s="126"/>
    </row>
    <row r="31" spans="1:38" ht="15" customHeight="1" x14ac:dyDescent="0.25">
      <c r="A31" s="86"/>
      <c r="B31" s="87"/>
      <c r="C31" s="88"/>
      <c r="T31" s="106" t="s">
        <v>304</v>
      </c>
    </row>
    <row r="32" spans="1:38" ht="15" customHeight="1" x14ac:dyDescent="0.25">
      <c r="A32" s="86"/>
      <c r="B32" s="87"/>
      <c r="C32" s="88"/>
      <c r="Q32" s="125" t="s">
        <v>257</v>
      </c>
      <c r="R32" s="4" t="e">
        <f>VLOOKUP(Q32,$F$27:$G$29,2,FALSE)</f>
        <v>#N/A</v>
      </c>
      <c r="T32" s="106" t="s">
        <v>305</v>
      </c>
    </row>
    <row r="33" spans="1:22" ht="15" customHeight="1" x14ac:dyDescent="0.25">
      <c r="A33" s="86"/>
      <c r="B33" s="87"/>
      <c r="C33" s="88"/>
      <c r="K33" s="6" t="s">
        <v>2</v>
      </c>
      <c r="L33" s="6" t="s">
        <v>189</v>
      </c>
      <c r="M33" s="6" t="s">
        <v>190</v>
      </c>
      <c r="N33" s="6" t="s">
        <v>191</v>
      </c>
      <c r="O33" s="6" t="s">
        <v>194</v>
      </c>
      <c r="Q33" s="125" t="s">
        <v>192</v>
      </c>
      <c r="R33" s="5" t="e">
        <f>R32/B5</f>
        <v>#N/A</v>
      </c>
    </row>
    <row r="34" spans="1:22" ht="15" customHeight="1" x14ac:dyDescent="0.25">
      <c r="A34" s="86"/>
      <c r="B34" s="87"/>
      <c r="C34" s="88"/>
      <c r="K34" s="3" t="s">
        <v>16</v>
      </c>
      <c r="L34" s="4">
        <f>GETPIVOTDATA("Total Value",Mastersheet!$AN$9,"Equity / Debt","Debt")</f>
        <v>447921422.93776697</v>
      </c>
      <c r="M34" s="66">
        <v>0.05</v>
      </c>
      <c r="N34" s="65">
        <f>M34*L34</f>
        <v>22396071.146888349</v>
      </c>
      <c r="O34" s="5" t="e">
        <f t="shared" ref="O34:O39" si="4">N34/$N$45</f>
        <v>#REF!</v>
      </c>
      <c r="Q34" s="125" t="s">
        <v>193</v>
      </c>
      <c r="R34" s="5" t="e">
        <f>R32/B3</f>
        <v>#N/A</v>
      </c>
    </row>
    <row r="35" spans="1:22" ht="15" customHeight="1" x14ac:dyDescent="0.25">
      <c r="A35" s="86"/>
      <c r="B35" s="87"/>
      <c r="C35" s="88"/>
      <c r="K35" s="3" t="s">
        <v>6</v>
      </c>
      <c r="L35" s="4">
        <f>GETPIVOTDATA("Total Value",Mastersheet!$AN$9,"Equity / Debt","Equity")</f>
        <v>320475597.94685376</v>
      </c>
      <c r="M35" s="66">
        <v>0.12</v>
      </c>
      <c r="N35" s="65">
        <f t="shared" ref="N35:N39" si="5">M35*L35</f>
        <v>38457071.75362245</v>
      </c>
      <c r="O35" s="5" t="e">
        <f t="shared" si="4"/>
        <v>#REF!</v>
      </c>
      <c r="Q35" s="4"/>
      <c r="R35" s="4"/>
      <c r="S35" s="4"/>
      <c r="T35" s="4"/>
      <c r="U35" s="4"/>
      <c r="V35" s="4"/>
    </row>
    <row r="36" spans="1:22" ht="15" customHeight="1" x14ac:dyDescent="0.25">
      <c r="A36" s="86"/>
      <c r="B36" s="87"/>
      <c r="C36" s="88"/>
      <c r="K36" s="3">
        <f>K4</f>
        <v>0</v>
      </c>
      <c r="L36" s="4" t="e">
        <f>GETPIVOTDATA("Total Exposure",$K$3,"Strategy Name","Gold")</f>
        <v>#REF!</v>
      </c>
      <c r="M36" s="66">
        <v>0.06</v>
      </c>
      <c r="N36" s="65" t="e">
        <f t="shared" si="5"/>
        <v>#REF!</v>
      </c>
      <c r="O36" s="5" t="e">
        <f t="shared" si="4"/>
        <v>#REF!</v>
      </c>
      <c r="Q36" s="127" t="s">
        <v>299</v>
      </c>
    </row>
    <row r="37" spans="1:22" ht="15" customHeight="1" x14ac:dyDescent="0.25">
      <c r="A37" s="86"/>
      <c r="B37" s="87"/>
      <c r="C37" s="88"/>
      <c r="K37" s="3">
        <f>K5</f>
        <v>0</v>
      </c>
      <c r="L37" s="4" t="e">
        <f>GETPIVOTDATA("Total Exposure",$K$3,"Strategy Name","Long Options")</f>
        <v>#REF!</v>
      </c>
      <c r="M37" s="66">
        <v>0.04</v>
      </c>
      <c r="N37" s="65" t="e">
        <f t="shared" si="5"/>
        <v>#REF!</v>
      </c>
      <c r="O37" s="5" t="e">
        <f t="shared" si="4"/>
        <v>#REF!</v>
      </c>
    </row>
    <row r="38" spans="1:22" ht="15" customHeight="1" x14ac:dyDescent="0.25">
      <c r="A38" s="86"/>
      <c r="B38" s="87"/>
      <c r="C38" s="88"/>
      <c r="K38" s="3">
        <f>K6</f>
        <v>0</v>
      </c>
      <c r="L38" s="4" t="e">
        <f>GETPIVOTDATA("Total Exposure",$K$3,"Strategy Name","PSAR")</f>
        <v>#REF!</v>
      </c>
      <c r="M38" s="66">
        <v>0.06</v>
      </c>
      <c r="N38" s="65" t="e">
        <f t="shared" si="5"/>
        <v>#REF!</v>
      </c>
      <c r="O38" s="5" t="e">
        <f t="shared" si="4"/>
        <v>#REF!</v>
      </c>
    </row>
    <row r="39" spans="1:22" ht="15" customHeight="1" x14ac:dyDescent="0.25">
      <c r="A39" s="86"/>
      <c r="B39" s="87"/>
      <c r="C39" s="88"/>
      <c r="K39" s="3">
        <f>K7</f>
        <v>0</v>
      </c>
      <c r="L39" s="4" t="e">
        <f>GETPIVOTDATA("Total Exposure",$K$3,"Strategy Name","Put Protection")</f>
        <v>#REF!</v>
      </c>
      <c r="M39" s="66">
        <v>-0.02</v>
      </c>
      <c r="N39" s="65" t="e">
        <f t="shared" si="5"/>
        <v>#REF!</v>
      </c>
      <c r="O39" s="5" t="e">
        <f t="shared" si="4"/>
        <v>#REF!</v>
      </c>
      <c r="Q39" s="126" t="s">
        <v>303</v>
      </c>
      <c r="R39" s="126"/>
      <c r="T39" s="126" t="s">
        <v>274</v>
      </c>
      <c r="U39" s="126"/>
    </row>
    <row r="40" spans="1:22" ht="15" customHeight="1" x14ac:dyDescent="0.25">
      <c r="A40" s="86"/>
      <c r="B40" s="87"/>
      <c r="C40" s="88"/>
    </row>
    <row r="41" spans="1:22" ht="15" customHeight="1" x14ac:dyDescent="0.25">
      <c r="A41" s="86"/>
      <c r="B41" s="87"/>
      <c r="C41" s="88"/>
      <c r="Q41" s="125" t="s">
        <v>256</v>
      </c>
      <c r="R41" s="4" t="e">
        <f>VLOOKUP(Q41,$F$27:$G$29,2,FALSE)</f>
        <v>#N/A</v>
      </c>
      <c r="T41" s="125" t="s">
        <v>274</v>
      </c>
      <c r="U41" s="4" t="e">
        <f>VLOOKUP(T41,$F$27:$G$29,2,FALSE)</f>
        <v>#N/A</v>
      </c>
      <c r="V41" s="129" t="e">
        <f t="shared" ref="V41:V45" si="6">U41/$U$47</f>
        <v>#N/A</v>
      </c>
    </row>
    <row r="42" spans="1:22" ht="15" customHeight="1" x14ac:dyDescent="0.25">
      <c r="A42" s="86"/>
      <c r="B42" s="87"/>
      <c r="C42" s="88"/>
      <c r="K42" s="3" t="s">
        <v>195</v>
      </c>
      <c r="L42" s="4">
        <f>B4</f>
        <v>67500000</v>
      </c>
      <c r="M42" s="66">
        <v>-0.09</v>
      </c>
      <c r="N42" s="65">
        <f t="shared" ref="N42" si="7">M42*L42</f>
        <v>-6075000</v>
      </c>
      <c r="O42" s="5" t="e">
        <f>N42/$N$45</f>
        <v>#REF!</v>
      </c>
      <c r="Q42" s="125" t="s">
        <v>51</v>
      </c>
      <c r="R42" s="4" t="e">
        <f>VLOOKUP(Q42,$F$27:$G$29,2,FALSE)</f>
        <v>#N/A</v>
      </c>
      <c r="T42" s="125" t="s">
        <v>120</v>
      </c>
      <c r="U42" s="4" t="e">
        <f>VLOOKUP(T42,$F$27:$G$29,2,FALSE)</f>
        <v>#N/A</v>
      </c>
      <c r="V42" s="129" t="e">
        <f t="shared" si="6"/>
        <v>#N/A</v>
      </c>
    </row>
    <row r="43" spans="1:22" ht="15" customHeight="1" x14ac:dyDescent="0.25">
      <c r="A43" s="86"/>
      <c r="B43" s="87"/>
      <c r="C43" s="88"/>
      <c r="Q43" s="125" t="s">
        <v>44</v>
      </c>
      <c r="R43" s="4" t="e">
        <f>VLOOKUP(Q43,$F$27:$G$29,2,FALSE)</f>
        <v>#N/A</v>
      </c>
      <c r="T43" s="125" t="s">
        <v>212</v>
      </c>
      <c r="U43" s="4" t="e">
        <f>VLOOKUP(T43,$F$27:$G$29,2,FALSE)</f>
        <v>#N/A</v>
      </c>
      <c r="V43" s="129" t="e">
        <f t="shared" si="6"/>
        <v>#N/A</v>
      </c>
    </row>
    <row r="44" spans="1:22" ht="15" customHeight="1" x14ac:dyDescent="0.25">
      <c r="A44" s="86"/>
      <c r="B44" s="87"/>
      <c r="C44" s="88"/>
      <c r="Q44" s="125" t="s">
        <v>302</v>
      </c>
      <c r="R44" s="4" t="e">
        <f>VLOOKUP(Q44,$F$27:$G$29,2,FALSE)</f>
        <v>#N/A</v>
      </c>
      <c r="T44" s="125" t="s">
        <v>280</v>
      </c>
      <c r="U44" s="4" t="e">
        <f>VLOOKUP(T44,$K$4:$L$22,2,FALSE)</f>
        <v>#N/A</v>
      </c>
      <c r="V44" s="129" t="e">
        <f t="shared" si="6"/>
        <v>#N/A</v>
      </c>
    </row>
    <row r="45" spans="1:22" ht="15" customHeight="1" x14ac:dyDescent="0.25">
      <c r="A45" s="86"/>
      <c r="B45" s="87"/>
      <c r="C45" s="88"/>
      <c r="K45" s="33" t="s">
        <v>158</v>
      </c>
      <c r="L45" s="33"/>
      <c r="M45" s="33"/>
      <c r="N45" s="67" t="e">
        <f>SUM(N34:N42)</f>
        <v>#REF!</v>
      </c>
      <c r="O45" s="33"/>
      <c r="Q45" s="115" t="s">
        <v>158</v>
      </c>
      <c r="R45" s="113" t="e">
        <f>SUM(R41:R44)</f>
        <v>#N/A</v>
      </c>
      <c r="T45" s="125" t="s">
        <v>279</v>
      </c>
      <c r="U45" s="4" t="e">
        <f>VLOOKUP(T45,$K$4:$L$22,2,FALSE)</f>
        <v>#N/A</v>
      </c>
      <c r="V45" s="129" t="e">
        <f t="shared" si="6"/>
        <v>#N/A</v>
      </c>
    </row>
    <row r="46" spans="1:22" ht="15" customHeight="1" x14ac:dyDescent="0.25">
      <c r="A46" s="86"/>
      <c r="B46" s="87"/>
      <c r="C46" s="88"/>
      <c r="K46" s="6" t="s">
        <v>192</v>
      </c>
      <c r="L46" s="6"/>
      <c r="M46" s="6"/>
      <c r="N46" s="68" t="e">
        <f>N45/B5</f>
        <v>#REF!</v>
      </c>
      <c r="O46" s="6"/>
      <c r="T46" s="125" t="s">
        <v>58</v>
      </c>
      <c r="U46" s="4" t="e">
        <f>VLOOKUP(T46,$K$4:$L$22,2,FALSE)</f>
        <v>#N/A</v>
      </c>
      <c r="V46" s="129" t="e">
        <f>U46/$U$47</f>
        <v>#N/A</v>
      </c>
    </row>
    <row r="47" spans="1:22" ht="15" customHeight="1" x14ac:dyDescent="0.25">
      <c r="A47" s="86"/>
      <c r="B47" s="87"/>
      <c r="C47" s="88"/>
      <c r="K47" s="6" t="s">
        <v>193</v>
      </c>
      <c r="L47" s="6"/>
      <c r="M47" s="6"/>
      <c r="N47" s="68" t="e">
        <f>N45/B3</f>
        <v>#REF!</v>
      </c>
      <c r="O47" s="6"/>
      <c r="Q47" s="125" t="s">
        <v>192</v>
      </c>
      <c r="R47" s="5" t="e">
        <f>R45/B5</f>
        <v>#N/A</v>
      </c>
      <c r="T47" s="115" t="s">
        <v>158</v>
      </c>
      <c r="U47" s="113" t="e">
        <f>SUM(U41:U46)</f>
        <v>#N/A</v>
      </c>
    </row>
    <row r="48" spans="1:22" ht="15" customHeight="1" x14ac:dyDescent="0.25">
      <c r="A48" s="86"/>
      <c r="B48" s="87"/>
      <c r="C48" s="88"/>
      <c r="Q48" s="125" t="s">
        <v>193</v>
      </c>
      <c r="R48" s="5" t="e">
        <f>R45/B3</f>
        <v>#N/A</v>
      </c>
    </row>
    <row r="49" spans="1:21" ht="15" customHeight="1" x14ac:dyDescent="0.25">
      <c r="A49" s="86"/>
      <c r="B49" s="87"/>
      <c r="C49" s="88"/>
      <c r="T49" s="125" t="s">
        <v>192</v>
      </c>
      <c r="U49" s="110" t="e">
        <f>U47/B5</f>
        <v>#N/A</v>
      </c>
    </row>
    <row r="50" spans="1:21" ht="15" customHeight="1" x14ac:dyDescent="0.25">
      <c r="A50" s="86"/>
      <c r="B50" s="87"/>
      <c r="C50" s="88"/>
      <c r="Q50" s="23" t="s">
        <v>300</v>
      </c>
      <c r="T50" s="125" t="s">
        <v>193</v>
      </c>
      <c r="U50" s="110" t="e">
        <f>U47/B3</f>
        <v>#N/A</v>
      </c>
    </row>
    <row r="51" spans="1:21" ht="15" customHeight="1" x14ac:dyDescent="0.25">
      <c r="A51" s="86"/>
      <c r="B51" s="87"/>
      <c r="C51" s="88"/>
    </row>
    <row r="52" spans="1:21" ht="15" customHeight="1" x14ac:dyDescent="0.25">
      <c r="A52" s="86"/>
      <c r="B52" s="87"/>
      <c r="C52" s="88"/>
      <c r="L52" s="4"/>
      <c r="M52" s="4"/>
      <c r="T52" s="23" t="s">
        <v>301</v>
      </c>
    </row>
    <row r="53" spans="1:21" ht="15" customHeight="1" x14ac:dyDescent="0.25">
      <c r="A53" s="86"/>
      <c r="B53" s="87"/>
      <c r="C53" s="88"/>
      <c r="L53" s="4"/>
      <c r="M53" s="4"/>
    </row>
    <row r="54" spans="1:21" ht="15" customHeight="1" x14ac:dyDescent="0.25">
      <c r="A54" s="86"/>
      <c r="B54" s="87"/>
      <c r="C54" s="88"/>
      <c r="L54" s="4"/>
      <c r="M54" s="4"/>
    </row>
    <row r="55" spans="1:21" ht="15" customHeight="1" x14ac:dyDescent="0.25">
      <c r="A55" s="86"/>
      <c r="B55" s="87"/>
      <c r="C55" s="88"/>
      <c r="L55" s="4"/>
      <c r="M55" s="4"/>
    </row>
    <row r="56" spans="1:21" ht="15" customHeight="1" x14ac:dyDescent="0.25">
      <c r="A56" s="86"/>
      <c r="B56" s="87"/>
      <c r="C56" s="88"/>
      <c r="F56" s="92"/>
      <c r="G56" s="92"/>
      <c r="H56" s="92"/>
      <c r="L56" s="4"/>
      <c r="M56" s="4"/>
    </row>
    <row r="57" spans="1:21" ht="15" customHeight="1" x14ac:dyDescent="0.25">
      <c r="A57" s="89"/>
      <c r="B57" s="90"/>
      <c r="C57" s="91"/>
      <c r="F57" s="92"/>
      <c r="G57" s="92"/>
      <c r="H57" s="92"/>
      <c r="L57" s="4"/>
      <c r="M57" s="4"/>
    </row>
    <row r="58" spans="1:21" ht="15" customHeight="1" x14ac:dyDescent="0.25">
      <c r="F58" s="92"/>
      <c r="G58" s="92"/>
      <c r="H58" s="92"/>
      <c r="L58" s="4"/>
      <c r="M58" s="4"/>
    </row>
    <row r="59" spans="1:21" ht="15" customHeight="1" x14ac:dyDescent="0.25">
      <c r="F59" s="92"/>
      <c r="G59" s="92"/>
      <c r="H59" s="92"/>
    </row>
    <row r="60" spans="1:21" ht="15" customHeight="1" x14ac:dyDescent="0.25">
      <c r="F60" s="92"/>
      <c r="G60" s="92"/>
      <c r="H60" s="92"/>
    </row>
    <row r="61" spans="1:21" ht="15" customHeight="1" x14ac:dyDescent="0.25">
      <c r="F61" s="92"/>
      <c r="G61" s="92"/>
      <c r="H61" s="92"/>
    </row>
    <row r="62" spans="1:21" ht="15" customHeight="1" x14ac:dyDescent="0.25">
      <c r="F62" s="92"/>
      <c r="G62" s="92"/>
      <c r="H62" s="92"/>
    </row>
    <row r="63" spans="1:21" ht="15" customHeight="1" x14ac:dyDescent="0.25">
      <c r="F63" s="92"/>
      <c r="G63" s="92"/>
      <c r="H63" s="92"/>
    </row>
    <row r="64" spans="1:21" ht="15" customHeight="1" x14ac:dyDescent="0.25">
      <c r="F64" s="92"/>
      <c r="G64" s="92"/>
      <c r="H64" s="92"/>
    </row>
    <row r="65" spans="6:8" ht="15" customHeight="1" x14ac:dyDescent="0.25">
      <c r="F65" s="92"/>
      <c r="G65" s="92"/>
      <c r="H65" s="92"/>
    </row>
    <row r="66" spans="6:8" ht="15" customHeight="1" x14ac:dyDescent="0.25">
      <c r="F66" s="92"/>
      <c r="G66" s="92"/>
      <c r="H66" s="92"/>
    </row>
    <row r="67" spans="6:8" ht="15" customHeight="1" x14ac:dyDescent="0.25">
      <c r="F67" s="92"/>
      <c r="G67" s="92"/>
      <c r="H67" s="92"/>
    </row>
    <row r="68" spans="6:8" ht="15" customHeight="1" x14ac:dyDescent="0.25">
      <c r="F68" s="92"/>
      <c r="G68" s="92"/>
      <c r="H68" s="92"/>
    </row>
    <row r="69" spans="6:8" ht="15" customHeight="1" x14ac:dyDescent="0.25">
      <c r="F69" s="92"/>
      <c r="G69" s="92"/>
      <c r="H69" s="92"/>
    </row>
    <row r="70" spans="6:8" ht="15" customHeight="1" x14ac:dyDescent="0.25">
      <c r="F70" s="92"/>
      <c r="G70" s="92"/>
      <c r="H70" s="92"/>
    </row>
    <row r="71" spans="6:8" ht="15" customHeight="1" x14ac:dyDescent="0.25">
      <c r="F71" s="92"/>
      <c r="G71" s="92"/>
      <c r="H71" s="92"/>
    </row>
    <row r="72" spans="6:8" ht="15" customHeight="1" x14ac:dyDescent="0.25">
      <c r="F72" s="92"/>
      <c r="G72" s="92"/>
      <c r="H72" s="92"/>
    </row>
    <row r="73" spans="6:8" ht="15" customHeight="1" x14ac:dyDescent="0.25">
      <c r="F73" s="92"/>
      <c r="G73" s="92"/>
      <c r="H73" s="92"/>
    </row>
    <row r="74" spans="6:8" ht="15" customHeight="1" x14ac:dyDescent="0.25">
      <c r="F74" s="92"/>
      <c r="G74" s="92"/>
      <c r="H74" s="92"/>
    </row>
    <row r="75" spans="6:8" ht="15" customHeight="1" x14ac:dyDescent="0.25">
      <c r="F75" s="92"/>
      <c r="G75" s="92"/>
      <c r="H75" s="92"/>
    </row>
    <row r="76" spans="6:8" ht="15" customHeight="1" x14ac:dyDescent="0.25">
      <c r="F76" s="92"/>
      <c r="G76" s="92"/>
      <c r="H76" s="92"/>
    </row>
    <row r="77" spans="6:8" ht="15" customHeight="1" x14ac:dyDescent="0.25">
      <c r="F77" s="92"/>
      <c r="G77" s="92"/>
      <c r="H77" s="92"/>
    </row>
    <row r="78" spans="6:8" ht="15" customHeight="1" x14ac:dyDescent="0.25">
      <c r="F78" s="92"/>
      <c r="G78" s="92"/>
      <c r="H78" s="92"/>
    </row>
    <row r="79" spans="6:8" ht="15" customHeight="1" x14ac:dyDescent="0.25">
      <c r="F79" s="92"/>
      <c r="G79" s="92"/>
      <c r="H79" s="92"/>
    </row>
    <row r="80" spans="6:8" ht="15" customHeight="1" x14ac:dyDescent="0.25">
      <c r="F80" s="92"/>
      <c r="G80" s="92"/>
      <c r="H80" s="92"/>
    </row>
    <row r="81" spans="6:8" ht="15" customHeight="1" x14ac:dyDescent="0.25">
      <c r="F81" s="92"/>
      <c r="G81" s="92"/>
      <c r="H81" s="92"/>
    </row>
    <row r="82" spans="6:8" ht="15" customHeight="1" x14ac:dyDescent="0.25">
      <c r="F82" s="92"/>
      <c r="G82" s="92"/>
      <c r="H82" s="92"/>
    </row>
    <row r="83" spans="6:8" ht="15" customHeight="1" x14ac:dyDescent="0.25">
      <c r="F83" s="92"/>
      <c r="G83" s="92"/>
      <c r="H83" s="92"/>
    </row>
    <row r="84" spans="6:8" ht="15" customHeight="1" x14ac:dyDescent="0.25">
      <c r="F84" s="92"/>
      <c r="G84" s="92"/>
      <c r="H84" s="92"/>
    </row>
    <row r="85" spans="6:8" ht="15" customHeight="1" x14ac:dyDescent="0.25">
      <c r="F85" s="92"/>
      <c r="G85" s="92"/>
      <c r="H85" s="92"/>
    </row>
    <row r="86" spans="6:8" ht="15" customHeight="1" x14ac:dyDescent="0.25">
      <c r="F86" s="92"/>
      <c r="G86" s="92"/>
      <c r="H86" s="92"/>
    </row>
    <row r="87" spans="6:8" ht="15" customHeight="1" x14ac:dyDescent="0.25">
      <c r="F87" s="92"/>
      <c r="G87" s="92"/>
      <c r="H87" s="92"/>
    </row>
    <row r="88" spans="6:8" ht="15" customHeight="1" x14ac:dyDescent="0.25">
      <c r="F88" s="92"/>
      <c r="G88" s="92"/>
      <c r="H88" s="92"/>
    </row>
    <row r="89" spans="6:8" ht="15" customHeight="1" x14ac:dyDescent="0.25">
      <c r="F89" s="92"/>
      <c r="G89" s="92"/>
      <c r="H89" s="92"/>
    </row>
    <row r="90" spans="6:8" ht="15" customHeight="1" x14ac:dyDescent="0.25">
      <c r="F90" s="92"/>
      <c r="G90" s="92"/>
      <c r="H90" s="92"/>
    </row>
    <row r="91" spans="6:8" ht="15" customHeight="1" x14ac:dyDescent="0.25">
      <c r="F91" s="92"/>
      <c r="G91" s="92"/>
      <c r="H91" s="92"/>
    </row>
    <row r="92" spans="6:8" ht="15" customHeight="1" x14ac:dyDescent="0.25">
      <c r="F92" s="92"/>
      <c r="G92" s="92"/>
      <c r="H92" s="92"/>
    </row>
    <row r="93" spans="6:8" ht="15" customHeight="1" x14ac:dyDescent="0.25">
      <c r="F93" s="92"/>
      <c r="G93" s="92"/>
      <c r="H93" s="92"/>
    </row>
    <row r="94" spans="6:8" ht="15" customHeight="1" x14ac:dyDescent="0.25">
      <c r="F94" s="92"/>
      <c r="G94" s="92"/>
      <c r="H94" s="92"/>
    </row>
  </sheetData>
  <dataConsolidate function="average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N86"/>
  <sheetViews>
    <sheetView showGridLines="0" topLeftCell="A7" workbookViewId="0">
      <selection activeCell="B28" sqref="B28"/>
    </sheetView>
  </sheetViews>
  <sheetFormatPr defaultColWidth="9.140625" defaultRowHeight="15" x14ac:dyDescent="0.25"/>
  <cols>
    <col min="1" max="1" width="9.140625" style="92"/>
    <col min="2" max="2" width="43" style="92" bestFit="1" customWidth="1"/>
    <col min="3" max="3" width="16.5703125" style="92" bestFit="1" customWidth="1"/>
    <col min="4" max="4" width="10.28515625" style="92" bestFit="1" customWidth="1"/>
    <col min="5" max="5" width="16.5703125" style="92" bestFit="1" customWidth="1"/>
    <col min="6" max="6" width="52.85546875" style="92" bestFit="1" customWidth="1"/>
    <col min="7" max="7" width="16.5703125" style="92" bestFit="1" customWidth="1"/>
    <col min="8" max="8" width="9.140625" style="92" bestFit="1" customWidth="1"/>
    <col min="9" max="9" width="9.140625" style="92"/>
    <col min="10" max="10" width="9.140625" style="138"/>
    <col min="11" max="11" width="9.140625" style="92"/>
    <col min="12" max="12" width="24.140625" style="92" bestFit="1" customWidth="1"/>
    <col min="13" max="13" width="17.28515625" style="92" bestFit="1" customWidth="1"/>
    <col min="14" max="14" width="21.7109375" style="92" bestFit="1" customWidth="1"/>
    <col min="15" max="15" width="24.5703125" style="92" bestFit="1" customWidth="1"/>
    <col min="16" max="16" width="29.85546875" style="92" bestFit="1" customWidth="1"/>
    <col min="17" max="17" width="23.42578125" style="92" bestFit="1" customWidth="1"/>
    <col min="18" max="18" width="9.85546875" style="92" bestFit="1" customWidth="1"/>
    <col min="19" max="19" width="9.140625" style="92"/>
    <col min="20" max="20" width="9.140625" style="138"/>
    <col min="21" max="21" width="9.140625" style="92"/>
    <col min="22" max="22" width="32.5703125" style="92" bestFit="1" customWidth="1"/>
    <col min="23" max="23" width="18.42578125" style="92" bestFit="1" customWidth="1"/>
    <col min="24" max="24" width="18.140625" style="92" bestFit="1" customWidth="1"/>
    <col min="25" max="25" width="18.42578125" style="92" bestFit="1" customWidth="1"/>
    <col min="26" max="26" width="8.7109375" style="92" bestFit="1" customWidth="1"/>
    <col min="27" max="27" width="16.5703125" style="92" bestFit="1" customWidth="1"/>
    <col min="28" max="28" width="12" style="92" bestFit="1" customWidth="1"/>
    <col min="29" max="29" width="9.140625" style="138"/>
    <col min="30" max="30" width="9.140625" style="92"/>
    <col min="31" max="31" width="36.42578125" style="92" bestFit="1" customWidth="1"/>
    <col min="32" max="32" width="22.85546875" style="92" bestFit="1" customWidth="1"/>
    <col min="33" max="33" width="9.140625" style="92" bestFit="1" customWidth="1"/>
    <col min="34" max="34" width="9.140625" style="92"/>
    <col min="35" max="35" width="15.42578125" style="92" bestFit="1" customWidth="1"/>
    <col min="36" max="36" width="14.7109375" style="92" bestFit="1" customWidth="1"/>
    <col min="37" max="37" width="9.140625" style="92"/>
    <col min="38" max="38" width="9.140625" style="138"/>
    <col min="39" max="39" width="9.140625" style="92"/>
    <col min="40" max="40" width="30.140625" style="92" bestFit="1" customWidth="1"/>
    <col min="41" max="41" width="17.85546875" style="92" bestFit="1" customWidth="1"/>
    <col min="42" max="42" width="9.140625" style="92" bestFit="1" customWidth="1"/>
    <col min="43" max="44" width="9.140625" style="92"/>
    <col min="45" max="45" width="49" style="92" bestFit="1" customWidth="1"/>
    <col min="46" max="46" width="16.5703125" style="92" bestFit="1" customWidth="1"/>
    <col min="47" max="47" width="9.140625" style="92" bestFit="1" customWidth="1"/>
    <col min="48" max="48" width="9.140625" style="92"/>
    <col min="49" max="49" width="9.140625" style="138"/>
    <col min="50" max="50" width="9.140625" style="92"/>
    <col min="51" max="51" width="45.85546875" style="92" bestFit="1" customWidth="1"/>
    <col min="52" max="52" width="16.5703125" style="92" bestFit="1" customWidth="1"/>
    <col min="53" max="54" width="9.140625" style="92"/>
    <col min="55" max="55" width="31.5703125" style="92" bestFit="1" customWidth="1"/>
    <col min="56" max="56" width="18.42578125" style="92" bestFit="1" customWidth="1"/>
    <col min="57" max="57" width="9.140625" style="92"/>
    <col min="58" max="58" width="9.140625" style="138"/>
    <col min="59" max="59" width="9.140625" style="92"/>
    <col min="60" max="60" width="13.5703125" style="92" bestFit="1" customWidth="1"/>
    <col min="61" max="61" width="19" style="92" bestFit="1" customWidth="1"/>
    <col min="62" max="62" width="19.5703125" style="92" bestFit="1" customWidth="1"/>
    <col min="63" max="63" width="17.28515625" style="92" customWidth="1"/>
    <col min="64" max="64" width="16.5703125" style="92" bestFit="1" customWidth="1"/>
    <col min="65" max="65" width="9.140625" style="92"/>
    <col min="66" max="66" width="9.140625" style="138"/>
    <col min="67" max="16384" width="9.140625" style="92"/>
  </cols>
  <sheetData>
    <row r="1" spans="2:64" ht="15.75" thickBot="1" x14ac:dyDescent="0.3"/>
    <row r="2" spans="2:64" x14ac:dyDescent="0.25">
      <c r="D2" s="139" t="s">
        <v>63</v>
      </c>
      <c r="E2" s="140">
        <f>E3-E4</f>
        <v>831372543.95014167</v>
      </c>
      <c r="F2" s="141"/>
    </row>
    <row r="3" spans="2:64" x14ac:dyDescent="0.25">
      <c r="D3" s="142" t="s">
        <v>61</v>
      </c>
      <c r="E3" s="113">
        <f>'Networth Inputs - old'!Q4</f>
        <v>898872543.95014167</v>
      </c>
      <c r="F3" s="143">
        <f>E3/$E$2</f>
        <v>1.0811910382309282</v>
      </c>
      <c r="BD3" s="87"/>
    </row>
    <row r="4" spans="2:64" ht="15.75" thickBot="1" x14ac:dyDescent="0.3">
      <c r="D4" s="144" t="s">
        <v>16</v>
      </c>
      <c r="E4" s="145">
        <f>'Networth Inputs - old'!Q5</f>
        <v>67500000</v>
      </c>
      <c r="F4" s="146">
        <f>E4/$E$2</f>
        <v>8.1191038230928214E-2</v>
      </c>
    </row>
    <row r="7" spans="2:64" x14ac:dyDescent="0.25">
      <c r="AE7" s="126" t="s">
        <v>333</v>
      </c>
      <c r="AF7" s="126"/>
      <c r="AG7" s="126"/>
      <c r="AH7" s="126"/>
      <c r="AI7" s="126"/>
      <c r="AJ7" s="126"/>
      <c r="AN7" s="126" t="s">
        <v>334</v>
      </c>
      <c r="AO7" s="126"/>
      <c r="AP7" s="126"/>
      <c r="AQ7" s="126"/>
      <c r="AR7" s="126"/>
      <c r="AS7" s="126"/>
      <c r="AT7" s="126"/>
      <c r="AU7" s="126"/>
      <c r="AY7" s="126" t="s">
        <v>337</v>
      </c>
      <c r="AZ7" s="126"/>
      <c r="BA7" s="126"/>
      <c r="BB7" s="126"/>
      <c r="BC7" s="126"/>
      <c r="BD7" s="126"/>
      <c r="BH7" s="126" t="s">
        <v>188</v>
      </c>
      <c r="BI7" s="126"/>
      <c r="BJ7" s="126"/>
      <c r="BK7" s="126"/>
      <c r="BL7" s="126"/>
    </row>
    <row r="8" spans="2:64" x14ac:dyDescent="0.25">
      <c r="B8" s="126" t="s">
        <v>61</v>
      </c>
      <c r="C8" s="126"/>
      <c r="D8" s="126"/>
      <c r="E8" s="126"/>
      <c r="F8" s="126"/>
      <c r="G8" s="126"/>
      <c r="H8" s="126"/>
      <c r="L8" s="126" t="s">
        <v>309</v>
      </c>
      <c r="M8" s="126"/>
      <c r="N8" s="126"/>
      <c r="O8" s="126"/>
      <c r="P8" s="126"/>
      <c r="Q8" s="126"/>
      <c r="R8" s="126"/>
      <c r="V8" s="126" t="s">
        <v>319</v>
      </c>
      <c r="W8" s="126"/>
      <c r="X8" s="126"/>
    </row>
    <row r="9" spans="2:64" x14ac:dyDescent="0.25">
      <c r="AN9" s="6" t="s">
        <v>335</v>
      </c>
      <c r="AO9" s="288" t="s">
        <v>127</v>
      </c>
      <c r="AP9" s="288" t="s">
        <v>128</v>
      </c>
      <c r="AY9" s="85" t="s">
        <v>298</v>
      </c>
      <c r="AZ9" s="85"/>
      <c r="BC9" s="85" t="s">
        <v>274</v>
      </c>
      <c r="BD9" s="85"/>
      <c r="BH9" s="6" t="s">
        <v>2</v>
      </c>
      <c r="BI9" s="6" t="s">
        <v>189</v>
      </c>
      <c r="BJ9" s="6" t="s">
        <v>190</v>
      </c>
      <c r="BK9" s="6" t="s">
        <v>191</v>
      </c>
      <c r="BL9" s="6" t="s">
        <v>194</v>
      </c>
    </row>
    <row r="10" spans="2:64" x14ac:dyDescent="0.25">
      <c r="B10" s="147" t="s">
        <v>5</v>
      </c>
      <c r="C10" s="148">
        <f>SUMIFS('Networth Inputs - old'!$E$4:$E$77,'Networth Inputs - old'!$F$4:$F$77,Mastersheet!$B$10)</f>
        <v>386107071.87014163</v>
      </c>
      <c r="D10" s="149">
        <f>C10/$E$3</f>
        <v>0.42954596229335723</v>
      </c>
      <c r="F10" s="147" t="s">
        <v>297</v>
      </c>
      <c r="G10" s="148">
        <f>SUMIFS('Networth Inputs - old'!$E$4:$E$77,'Networth Inputs - old'!$F$4:$F$77,Mastersheet!$F$10)</f>
        <v>512765472.08000004</v>
      </c>
      <c r="H10" s="149">
        <f>G10/$E$3</f>
        <v>0.57045403770664282</v>
      </c>
      <c r="N10" s="150" t="s">
        <v>310</v>
      </c>
      <c r="O10" s="151">
        <f>M19+Q19</f>
        <v>1105589493.1391554</v>
      </c>
      <c r="V10" s="85" t="s">
        <v>148</v>
      </c>
      <c r="W10" s="85" t="s">
        <v>320</v>
      </c>
      <c r="X10" s="85" t="s">
        <v>321</v>
      </c>
      <c r="AN10" s="290" t="s">
        <v>78</v>
      </c>
      <c r="AO10" s="291">
        <v>191141021.27000001</v>
      </c>
      <c r="AP10" s="292">
        <v>0.19792979591227094</v>
      </c>
      <c r="BH10" s="92" t="s">
        <v>16</v>
      </c>
      <c r="BI10" s="163">
        <f>AT36+AT37</f>
        <v>49426199</v>
      </c>
      <c r="BJ10" s="156">
        <v>0.05</v>
      </c>
      <c r="BK10" s="163">
        <f>BJ10*BI10</f>
        <v>2471309.9500000002</v>
      </c>
      <c r="BL10" s="164">
        <f>BK10/$BK$17</f>
        <v>6.9987564787052777E-3</v>
      </c>
    </row>
    <row r="11" spans="2:64" x14ac:dyDescent="0.25">
      <c r="B11" s="152"/>
      <c r="D11" s="153"/>
      <c r="F11" s="152"/>
      <c r="H11" s="153"/>
      <c r="N11" s="152" t="s">
        <v>183</v>
      </c>
      <c r="O11" s="154">
        <f>O10/E2</f>
        <v>1.3298364267433143</v>
      </c>
      <c r="V11" s="155" t="s">
        <v>134</v>
      </c>
      <c r="W11" s="156">
        <v>-1</v>
      </c>
      <c r="X11" s="87">
        <f>W11*W27</f>
        <v>-24471885.518952124</v>
      </c>
      <c r="AE11" s="288" t="s">
        <v>2</v>
      </c>
      <c r="AF11" s="288" t="s">
        <v>330</v>
      </c>
      <c r="AG11" s="288" t="s">
        <v>128</v>
      </c>
      <c r="AI11" s="85" t="s">
        <v>192</v>
      </c>
      <c r="AJ11" s="85" t="s">
        <v>193</v>
      </c>
      <c r="AN11" s="290" t="s">
        <v>16</v>
      </c>
      <c r="AO11" s="291">
        <v>447921422.93776697</v>
      </c>
      <c r="AP11" s="292">
        <v>0.46383029261715636</v>
      </c>
      <c r="AY11" s="155" t="s">
        <v>257</v>
      </c>
      <c r="AZ11" s="87">
        <f>VLOOKUP(AY11,$AN$22:$AO$35,2,FALSE)+VLOOKUP("Sumesh",$AN$22:$AO$35,2,FALSE)</f>
        <v>47098490.649999991</v>
      </c>
      <c r="BC11" s="155" t="s">
        <v>274</v>
      </c>
      <c r="BD11" s="87">
        <f>VLOOKUP(BC11,$P$33:$R$48,2,FALSE)</f>
        <v>0</v>
      </c>
      <c r="BH11" s="92" t="s">
        <v>6</v>
      </c>
      <c r="BI11" s="163">
        <f>N15</f>
        <v>545951806.13915527</v>
      </c>
      <c r="BJ11" s="156">
        <v>0.15</v>
      </c>
      <c r="BK11" s="163">
        <f t="shared" ref="BK11:BK14" si="0">BJ11*BI11</f>
        <v>81892770.920873284</v>
      </c>
      <c r="BL11" s="164">
        <f t="shared" ref="BL11:BL14" si="1">BK11/$BK$17</f>
        <v>0.23192054927856745</v>
      </c>
    </row>
    <row r="12" spans="2:64" x14ac:dyDescent="0.25">
      <c r="B12" s="152">
        <f t="array" aca="1" ref="B12" ca="1">IFERROR(INDEX('Networth Inputs - old'!$B$4:$B$75, MATCH(0, COUNTIF($B$12:B12, 'Networth Inputs - old'!$B$4:$B$75), 0)), "")</f>
        <v>0</v>
      </c>
      <c r="C12" s="87">
        <f ca="1">SUMIFS('Networth Inputs - old'!$E$4:$E$77,'Networth Inputs - old'!$F$4:$F$77,Mastersheet!$B$10,'Networth Inputs - old'!$B$4:$B$77,Mastersheet!B12)</f>
        <v>0</v>
      </c>
      <c r="D12" s="153">
        <f ca="1">C12/$C$10</f>
        <v>0</v>
      </c>
      <c r="F12" s="152">
        <f t="array" aca="1" ref="F12" ca="1">IFERROR(INDEX('Networth Inputs - old'!$B$4:$B$75, MATCH(0, COUNTIF($F$12:F12, 'Networth Inputs - old'!$B$4:$B$75), 0)), "")</f>
        <v>0</v>
      </c>
      <c r="G12" s="87">
        <f ca="1">SUMIFS('Networth Inputs - old'!$E$4:$E$77,'Networth Inputs - old'!$F$4:$F$77,Mastersheet!$F$10,'Networth Inputs - old'!$B$4:$B$77,Mastersheet!F12)</f>
        <v>0</v>
      </c>
      <c r="H12" s="153">
        <f ca="1">G12/$G$10</f>
        <v>0</v>
      </c>
      <c r="N12" s="157" t="s">
        <v>184</v>
      </c>
      <c r="O12" s="158">
        <f>O10/E3</f>
        <v>1.229973593676124</v>
      </c>
      <c r="V12" s="155" t="s">
        <v>136</v>
      </c>
      <c r="W12" s="156">
        <v>-0.1</v>
      </c>
      <c r="X12" s="87">
        <f>-AA50+W12*Y45</f>
        <v>-239541869.3845396</v>
      </c>
      <c r="Y12" s="224"/>
      <c r="Z12" s="224"/>
      <c r="AA12" s="224"/>
      <c r="AE12" s="290" t="s">
        <v>58</v>
      </c>
      <c r="AF12" s="291">
        <v>304237500</v>
      </c>
      <c r="AG12" s="292">
        <v>4.2986272864349674E-2</v>
      </c>
      <c r="AI12" s="159">
        <f>AF12/$E$2</f>
        <v>0.36594605175973366</v>
      </c>
      <c r="AJ12" s="159">
        <f>AF12/$E$3</f>
        <v>0.33846567241114367</v>
      </c>
      <c r="AN12" s="290" t="s">
        <v>6</v>
      </c>
      <c r="AO12" s="291">
        <v>320475597.94685376</v>
      </c>
      <c r="AP12" s="292">
        <v>0.33185796159832226</v>
      </c>
      <c r="AY12" s="125" t="s">
        <v>192</v>
      </c>
      <c r="AZ12" s="164">
        <f>AZ11/$E$2</f>
        <v>5.6651486740491322E-2</v>
      </c>
      <c r="BC12" s="155" t="s">
        <v>120</v>
      </c>
      <c r="BD12" s="87">
        <f t="shared" ref="BD12:BD14" si="2">VLOOKUP(BC12,$L$33:$N$48,2,FALSE)</f>
        <v>10931181.43</v>
      </c>
      <c r="BH12" s="92" t="s">
        <v>58</v>
      </c>
      <c r="BI12" s="192">
        <f>N16</f>
        <v>559637687</v>
      </c>
      <c r="BJ12" s="156">
        <v>0.06</v>
      </c>
      <c r="BK12" s="163">
        <f t="shared" si="0"/>
        <v>33578261.219999999</v>
      </c>
      <c r="BL12" s="164">
        <f t="shared" si="1"/>
        <v>9.5093726813641144E-2</v>
      </c>
    </row>
    <row r="13" spans="2:64" x14ac:dyDescent="0.25">
      <c r="B13" s="152" t="str">
        <f t="array" aca="1" ref="B13" ca="1">IFERROR(INDEX('Networth Inputs - old'!$B$4:$B$75, MATCH(0, COUNTIF($B$12:B13, 'Networth Inputs - old'!$B$4:$B$75), 0)), "")</f>
        <v>Other Investments</v>
      </c>
      <c r="C13" s="87">
        <f ca="1">SUMIFS('Networth Inputs - old'!$E$4:$E$77,'Networth Inputs - old'!$F$4:$F$77,Mastersheet!$B$10,'Networth Inputs - old'!$B$4:$B$77,Mastersheet!B13)</f>
        <v>114840558.8</v>
      </c>
      <c r="D13" s="153">
        <f t="shared" ref="D13:D17" ca="1" si="3">C13/$C$10</f>
        <v>0.29743189691854188</v>
      </c>
      <c r="F13" s="152" t="str">
        <f t="array" aca="1" ref="F13" ca="1">IFERROR(INDEX('Networth Inputs - old'!$B$4:$B$75, MATCH(0, COUNTIF($F$12:F13, 'Networth Inputs - old'!$B$4:$B$75), 0)), "")</f>
        <v>Other Investments</v>
      </c>
      <c r="G13" s="87">
        <f ca="1">SUMIFS('Networth Inputs - old'!$E$4:$E$77,'Networth Inputs - old'!$F$4:$F$77,Mastersheet!$F$10,'Networth Inputs - old'!$B$4:$B$77,Mastersheet!F13)</f>
        <v>0</v>
      </c>
      <c r="H13" s="153">
        <f t="shared" ref="H13:H17" ca="1" si="4">G13/$G$10</f>
        <v>0</v>
      </c>
      <c r="V13" s="155" t="s">
        <v>137</v>
      </c>
      <c r="W13" s="156">
        <v>0.05</v>
      </c>
      <c r="X13" s="87">
        <f>W13*M19</f>
        <v>27297590.306957766</v>
      </c>
      <c r="AE13" s="290" t="s">
        <v>279</v>
      </c>
      <c r="AF13" s="291">
        <v>255400187</v>
      </c>
      <c r="AG13" s="292">
        <v>3.6085959580879852E-2</v>
      </c>
      <c r="AI13" s="159">
        <f t="shared" ref="AI13:AI23" si="5">AF13/$E$2</f>
        <v>0.30720305699115874</v>
      </c>
      <c r="AJ13" s="159">
        <f t="shared" ref="AJ13:AJ23" si="6">AF13/$E$3</f>
        <v>0.28413392835165563</v>
      </c>
      <c r="AN13" s="290" t="s">
        <v>58</v>
      </c>
      <c r="AO13" s="291">
        <v>6163056</v>
      </c>
      <c r="AP13" s="292">
        <v>6.3819498722504486E-3</v>
      </c>
      <c r="AY13" s="125" t="s">
        <v>193</v>
      </c>
      <c r="AZ13" s="164">
        <f>AZ11/$E$3</f>
        <v>5.2397295886937707E-2</v>
      </c>
      <c r="BC13" s="155" t="s">
        <v>212</v>
      </c>
      <c r="BD13" s="87">
        <f t="shared" si="2"/>
        <v>0</v>
      </c>
      <c r="BH13" s="92" t="s">
        <v>134</v>
      </c>
      <c r="BI13" s="87">
        <f>AF15</f>
        <v>3892367128.845396</v>
      </c>
      <c r="BJ13" s="156">
        <v>0.05</v>
      </c>
      <c r="BK13" s="163">
        <f t="shared" si="0"/>
        <v>194618356.4422698</v>
      </c>
      <c r="BL13" s="164">
        <f t="shared" si="1"/>
        <v>0.55115971310086331</v>
      </c>
    </row>
    <row r="14" spans="2:64" x14ac:dyDescent="0.25">
      <c r="B14" s="152" t="str">
        <f t="array" aca="1" ref="B14" ca="1">IFERROR(INDEX('Networth Inputs - old'!$B$4:$B$75, MATCH(0, COUNTIF($B$12:B14, 'Networth Inputs - old'!$B$4:$B$75), 0)), "")</f>
        <v>FD</v>
      </c>
      <c r="C14" s="87">
        <f ca="1">SUMIFS('Networth Inputs - old'!$E$4:$E$77,'Networth Inputs - old'!$F$4:$F$77,Mastersheet!$B$10,'Networth Inputs - old'!$B$4:$B$77,Mastersheet!B14)</f>
        <v>76648751</v>
      </c>
      <c r="D14" s="153">
        <f t="shared" ca="1" si="3"/>
        <v>0.19851682754409397</v>
      </c>
      <c r="F14" s="152" t="str">
        <f t="array" aca="1" ref="F14" ca="1">IFERROR(INDEX('Networth Inputs - old'!$B$4:$B$75, MATCH(0, COUNTIF($F$12:F14, 'Networth Inputs - old'!$B$4:$B$75), 0)), "")</f>
        <v>FD</v>
      </c>
      <c r="G14" s="87">
        <f ca="1">SUMIFS('Networth Inputs - old'!$E$4:$E$77,'Networth Inputs - old'!$F$4:$F$77,Mastersheet!$F$10,'Networth Inputs - old'!$B$4:$B$77,Mastersheet!F14)</f>
        <v>5287189</v>
      </c>
      <c r="H14" s="153">
        <f t="shared" ca="1" si="4"/>
        <v>1.0311125237338736E-2</v>
      </c>
      <c r="M14" s="160" t="s">
        <v>8</v>
      </c>
      <c r="N14" s="161" t="s">
        <v>311</v>
      </c>
      <c r="O14" s="161" t="s">
        <v>312</v>
      </c>
      <c r="P14" s="161" t="s">
        <v>183</v>
      </c>
      <c r="Q14" s="162" t="s">
        <v>184</v>
      </c>
      <c r="V14" s="155" t="s">
        <v>322</v>
      </c>
      <c r="W14" s="156">
        <v>-0.2</v>
      </c>
      <c r="X14" s="87">
        <f>W14*N15</f>
        <v>-109190361.22783107</v>
      </c>
      <c r="AE14" s="290" t="s">
        <v>134</v>
      </c>
      <c r="AF14" s="291">
        <v>1512312063.1346207</v>
      </c>
      <c r="AG14" s="292">
        <v>0.21367733761272828</v>
      </c>
      <c r="AI14" s="159">
        <f t="shared" si="5"/>
        <v>1.8190546153341765</v>
      </c>
      <c r="AJ14" s="159">
        <f t="shared" si="6"/>
        <v>1.6824543961357274</v>
      </c>
      <c r="AN14" s="299" t="s">
        <v>64</v>
      </c>
      <c r="AO14" s="10">
        <v>965701098.15462077</v>
      </c>
      <c r="AP14" s="300">
        <v>1</v>
      </c>
      <c r="BC14" s="155" t="s">
        <v>280</v>
      </c>
      <c r="BD14" s="87">
        <f t="shared" si="2"/>
        <v>405463080.5</v>
      </c>
      <c r="BH14" s="92" t="s">
        <v>136</v>
      </c>
      <c r="BI14" s="87">
        <f>AF17</f>
        <v>405463080.5</v>
      </c>
      <c r="BJ14" s="156">
        <v>0.1</v>
      </c>
      <c r="BK14" s="163">
        <f t="shared" si="0"/>
        <v>40546308.050000004</v>
      </c>
      <c r="BL14" s="164">
        <f t="shared" si="1"/>
        <v>0.11482725432822276</v>
      </c>
    </row>
    <row r="15" spans="2:64" x14ac:dyDescent="0.25">
      <c r="B15" s="152" t="str">
        <f t="array" aca="1" ref="B15" ca="1">IFERROR(INDEX('Networth Inputs - old'!$B$4:$B$75, MATCH(0, COUNTIF($B$12:B15, 'Networth Inputs - old'!$B$4:$B$75), 0)), "")</f>
        <v>Prop Deposits</v>
      </c>
      <c r="C15" s="87">
        <f ca="1">SUMIFS('Networth Inputs - old'!$E$4:$E$77,'Networth Inputs - old'!$F$4:$F$77,Mastersheet!$B$10,'Networth Inputs - old'!$B$4:$B$77,Mastersheet!B15)</f>
        <v>108078806.22</v>
      </c>
      <c r="D15" s="153">
        <f t="shared" ca="1" si="3"/>
        <v>0.27991926098766162</v>
      </c>
      <c r="F15" s="152" t="str">
        <f t="array" aca="1" ref="F15" ca="1">IFERROR(INDEX('Networth Inputs - old'!$B$4:$B$75, MATCH(0, COUNTIF($F$12:F15, 'Networth Inputs - old'!$B$4:$B$75), 0)), "")</f>
        <v>Prop Deposits</v>
      </c>
      <c r="G15" s="87">
        <f ca="1">SUMIFS('Networth Inputs - old'!$E$4:$E$77,'Networth Inputs - old'!$F$4:$F$77,Mastersheet!$F$10,'Networth Inputs - old'!$B$4:$B$77,Mastersheet!F15)</f>
        <v>31500000</v>
      </c>
      <c r="H15" s="153">
        <f t="shared" ca="1" si="4"/>
        <v>6.1431593418765668E-2</v>
      </c>
      <c r="M15" s="152" t="s">
        <v>6</v>
      </c>
      <c r="N15" s="163">
        <f>M19</f>
        <v>545951806.13915527</v>
      </c>
      <c r="O15" s="164">
        <f>N15/$O$10</f>
        <v>0.49381059563889945</v>
      </c>
      <c r="P15" s="159">
        <f>N15/E2</f>
        <v>0.65668731799242175</v>
      </c>
      <c r="Q15" s="154">
        <f>N15/E3</f>
        <v>0.6073739929133245</v>
      </c>
      <c r="V15" s="155" t="s">
        <v>58</v>
      </c>
      <c r="W15" s="156">
        <v>0.05</v>
      </c>
      <c r="X15" s="87">
        <f>W15*N16</f>
        <v>27981884.350000001</v>
      </c>
      <c r="AE15" s="290" t="s">
        <v>136</v>
      </c>
      <c r="AF15" s="291">
        <v>3892367128.845396</v>
      </c>
      <c r="AG15" s="292">
        <v>0.54995967127252066</v>
      </c>
      <c r="AI15" s="159">
        <f t="shared" si="5"/>
        <v>4.6818567165465899</v>
      </c>
      <c r="AJ15" s="159">
        <f t="shared" si="6"/>
        <v>4.330277028754475</v>
      </c>
      <c r="AY15" s="127" t="s">
        <v>299</v>
      </c>
      <c r="BC15" s="155" t="s">
        <v>279</v>
      </c>
      <c r="BD15" s="87">
        <f>VLOOKUP(BC15,$P$33:$R$48,2,FALSE)</f>
        <v>255400187</v>
      </c>
    </row>
    <row r="16" spans="2:64" x14ac:dyDescent="0.25">
      <c r="B16" s="152" t="str">
        <f t="array" aca="1" ref="B16" ca="1">IFERROR(INDEX('Networth Inputs - old'!$B$4:$B$75, MATCH(0, COUNTIF($B$12:B16, 'Networth Inputs - old'!$B$4:$B$75), 0)), "")</f>
        <v/>
      </c>
      <c r="C16" s="87">
        <f ca="1">SUMIFS('Networth Inputs - old'!$E$4:$E$77,'Networth Inputs - old'!$F$4:$F$77,Mastersheet!$B$10,'Networth Inputs - old'!$B$4:$B$77,Mastersheet!B16)</f>
        <v>0</v>
      </c>
      <c r="D16" s="153">
        <f t="shared" ca="1" si="3"/>
        <v>0</v>
      </c>
      <c r="F16" s="152" t="str">
        <f t="array" aca="1" ref="F16" ca="1">IFERROR(INDEX('Networth Inputs - old'!$B$4:$B$75, MATCH(0, COUNTIF($F$12:F16, 'Networth Inputs - old'!$B$4:$B$75), 0)), "")</f>
        <v/>
      </c>
      <c r="G16" s="87">
        <f ca="1">SUMIFS('Networth Inputs - old'!$E$4:$E$77,'Networth Inputs - old'!$F$4:$F$77,Mastersheet!$F$10,'Networth Inputs - old'!$B$4:$B$77,Mastersheet!F16)</f>
        <v>0</v>
      </c>
      <c r="H16" s="153">
        <f t="shared" ca="1" si="4"/>
        <v>0</v>
      </c>
      <c r="M16" s="157" t="s">
        <v>58</v>
      </c>
      <c r="N16" s="165">
        <f>Q34+Q35</f>
        <v>559637687</v>
      </c>
      <c r="O16" s="166">
        <f>N16/$O$10</f>
        <v>0.50618940436110038</v>
      </c>
      <c r="P16" s="167">
        <f>N16/E2</f>
        <v>0.6731491087508924</v>
      </c>
      <c r="Q16" s="158">
        <f>N16/E3</f>
        <v>0.6225996007627993</v>
      </c>
      <c r="V16" s="155"/>
      <c r="W16" s="156"/>
      <c r="X16" s="87"/>
      <c r="AE16" s="290" t="s">
        <v>137</v>
      </c>
      <c r="AF16" s="291">
        <v>666310144.94685376</v>
      </c>
      <c r="AG16" s="292">
        <v>9.4144179146127091E-2</v>
      </c>
      <c r="AI16" s="159">
        <f t="shared" si="5"/>
        <v>0.8014579622523752</v>
      </c>
      <c r="AJ16" s="159">
        <f t="shared" si="6"/>
        <v>0.74127321991471617</v>
      </c>
      <c r="BC16" s="155" t="s">
        <v>58</v>
      </c>
      <c r="BD16" s="87">
        <f>VLOOKUP(BC16,$P$33:$R$48,2,FALSE)</f>
        <v>304237500</v>
      </c>
    </row>
    <row r="17" spans="2:64" x14ac:dyDescent="0.25">
      <c r="B17" s="157" t="str">
        <f t="array" aca="1" ref="B17" ca="1">IFERROR(INDEX('Networth Inputs - old'!$B$4:$B$75, MATCH(0, COUNTIF($B$12:B17, 'Networth Inputs - old'!$B$4:$B$75), 0)), "")</f>
        <v>Client Account</v>
      </c>
      <c r="C17" s="168">
        <f ca="1">SUMIFS('Networth Inputs - old'!$E$4:$E$77,'Networth Inputs - old'!$F$4:$F$77,Mastersheet!$B$10,'Networth Inputs - old'!$B$4:$B$77,Mastersheet!B17)</f>
        <v>86538955.85014157</v>
      </c>
      <c r="D17" s="169">
        <f t="shared" ca="1" si="3"/>
        <v>0.22413201454970239</v>
      </c>
      <c r="F17" s="157" t="str">
        <f t="array" aca="1" ref="F17" ca="1">IFERROR(INDEX('Networth Inputs - old'!$B$4:$B$75, MATCH(0, COUNTIF($F$12:F17, 'Networth Inputs - old'!$B$4:$B$75), 0)), "")</f>
        <v>Client Account</v>
      </c>
      <c r="G17" s="168">
        <f ca="1">SUMIFS('Networth Inputs - old'!$E$4:$E$77,'Networth Inputs - old'!$F$4:$F$77,Mastersheet!$F$10,'Networth Inputs - old'!$B$4:$B$77,Mastersheet!F17)</f>
        <v>475978283.08000004</v>
      </c>
      <c r="H17" s="169">
        <f t="shared" ca="1" si="4"/>
        <v>0.92825728134389562</v>
      </c>
      <c r="AE17" s="290" t="s">
        <v>280</v>
      </c>
      <c r="AF17" s="291">
        <v>405463080.5</v>
      </c>
      <c r="AG17" s="292">
        <v>5.7288620287744868E-2</v>
      </c>
      <c r="AI17" s="159">
        <f t="shared" si="5"/>
        <v>0.48770323659415443</v>
      </c>
      <c r="AJ17" s="159">
        <f t="shared" si="6"/>
        <v>0.45107961437799804</v>
      </c>
      <c r="AN17" s="1" t="s">
        <v>124</v>
      </c>
      <c r="AO17" s="2"/>
      <c r="AP17" s="2"/>
      <c r="AS17" s="1" t="s">
        <v>126</v>
      </c>
      <c r="AT17" s="2"/>
      <c r="AU17" s="2"/>
      <c r="BC17" s="191" t="s">
        <v>158</v>
      </c>
      <c r="BD17" s="113">
        <f>SUM(BD11:BD16)</f>
        <v>976031948.93000007</v>
      </c>
      <c r="BH17" s="170" t="s">
        <v>158</v>
      </c>
      <c r="BI17" s="193">
        <f>SUM(BI10:BI14)</f>
        <v>5452845901.4845514</v>
      </c>
      <c r="BJ17" s="173">
        <f>BK17/BI17</f>
        <v>6.4756461664726081E-2</v>
      </c>
      <c r="BK17" s="193">
        <f>SUM(BK10:BK14)</f>
        <v>353107006.58314312</v>
      </c>
      <c r="BL17" s="170"/>
    </row>
    <row r="18" spans="2:64" x14ac:dyDescent="0.25">
      <c r="V18" s="170" t="s">
        <v>323</v>
      </c>
      <c r="W18" s="170"/>
      <c r="X18" s="171">
        <f>SUM(X11:X16)</f>
        <v>-317924641.474365</v>
      </c>
      <c r="AE18" s="290" t="s">
        <v>271</v>
      </c>
      <c r="AF18" s="291">
        <v>41460000</v>
      </c>
      <c r="AG18" s="292">
        <v>5.8579592356495748E-3</v>
      </c>
      <c r="AI18" s="159">
        <f t="shared" si="5"/>
        <v>4.9869339926730129E-2</v>
      </c>
      <c r="AJ18" s="159">
        <f t="shared" si="6"/>
        <v>4.612444809783809E-2</v>
      </c>
      <c r="AY18" s="85" t="s">
        <v>303</v>
      </c>
      <c r="AZ18" s="85"/>
    </row>
    <row r="19" spans="2:64" x14ac:dyDescent="0.25">
      <c r="L19" s="160" t="s">
        <v>313</v>
      </c>
      <c r="M19" s="172">
        <f>L24+N24</f>
        <v>545951806.13915527</v>
      </c>
      <c r="N19" s="149">
        <f>M19/O10</f>
        <v>0.49381059563889945</v>
      </c>
      <c r="P19" s="160" t="s">
        <v>314</v>
      </c>
      <c r="Q19" s="172">
        <f>P24+R24</f>
        <v>559637687</v>
      </c>
      <c r="R19" s="149">
        <f>Q19/O10</f>
        <v>0.50618940436110038</v>
      </c>
      <c r="V19" s="170" t="s">
        <v>324</v>
      </c>
      <c r="W19" s="170"/>
      <c r="X19" s="173">
        <f>X18/E2</f>
        <v>-0.38240935882221205</v>
      </c>
      <c r="AE19" s="290" t="s">
        <v>265</v>
      </c>
      <c r="AF19" s="291"/>
      <c r="AG19" s="292">
        <v>0</v>
      </c>
      <c r="AI19" s="159">
        <f t="shared" si="5"/>
        <v>0</v>
      </c>
      <c r="AJ19" s="159">
        <f t="shared" si="6"/>
        <v>0</v>
      </c>
      <c r="AN19" s="301" t="s">
        <v>125</v>
      </c>
      <c r="AO19" s="302" t="s">
        <v>89</v>
      </c>
      <c r="AP19" s="3"/>
      <c r="AS19" s="301" t="s">
        <v>76</v>
      </c>
      <c r="AT19" s="302" t="s">
        <v>16</v>
      </c>
      <c r="BC19" s="92" t="s">
        <v>192</v>
      </c>
      <c r="BD19" s="164">
        <f>BD17/E2</f>
        <v>1.1740007004471558</v>
      </c>
    </row>
    <row r="20" spans="2:64" x14ac:dyDescent="0.25">
      <c r="L20" s="152" t="s">
        <v>183</v>
      </c>
      <c r="N20" s="154">
        <f>M19/E2</f>
        <v>0.65668731799242175</v>
      </c>
      <c r="P20" s="152" t="s">
        <v>183</v>
      </c>
      <c r="R20" s="154">
        <f>Q19/E2</f>
        <v>0.6731491087508924</v>
      </c>
      <c r="V20" s="170" t="s">
        <v>325</v>
      </c>
      <c r="W20" s="170"/>
      <c r="X20" s="173">
        <f>X18/E3</f>
        <v>-0.35369268269918314</v>
      </c>
      <c r="AE20" s="290" t="s">
        <v>434</v>
      </c>
      <c r="AF20" s="291">
        <v>0</v>
      </c>
      <c r="AG20" s="292">
        <v>0</v>
      </c>
      <c r="AI20" s="159">
        <f t="shared" si="5"/>
        <v>0</v>
      </c>
      <c r="AJ20" s="159">
        <f t="shared" si="6"/>
        <v>0</v>
      </c>
      <c r="AN20" s="3"/>
      <c r="AO20" s="3"/>
      <c r="AP20" s="3"/>
      <c r="AY20" s="155" t="s">
        <v>256</v>
      </c>
      <c r="AZ20" s="87">
        <f>VLOOKUP(AY20,$AN$21:$AO$35,2,FALSE)</f>
        <v>47052657.888027318</v>
      </c>
      <c r="BC20" s="92" t="s">
        <v>193</v>
      </c>
      <c r="BD20" s="164">
        <f>BD17/E3</f>
        <v>1.0858402067113735</v>
      </c>
    </row>
    <row r="21" spans="2:64" x14ac:dyDescent="0.25">
      <c r="B21" s="288" t="s">
        <v>130</v>
      </c>
      <c r="C21" s="288" t="s">
        <v>5</v>
      </c>
      <c r="F21" s="288" t="s">
        <v>130</v>
      </c>
      <c r="G21" s="288" t="s">
        <v>297</v>
      </c>
      <c r="L21" s="157" t="s">
        <v>184</v>
      </c>
      <c r="M21" s="174"/>
      <c r="N21" s="158">
        <f>M19/E3</f>
        <v>0.6073739929133245</v>
      </c>
      <c r="P21" s="157" t="s">
        <v>184</v>
      </c>
      <c r="Q21" s="174"/>
      <c r="R21" s="158">
        <f>Q19/E3</f>
        <v>0.6225996007627993</v>
      </c>
      <c r="AE21" s="295" t="s">
        <v>64</v>
      </c>
      <c r="AF21" s="296">
        <v>7077550104.4268703</v>
      </c>
      <c r="AG21" s="298">
        <v>1</v>
      </c>
      <c r="AI21" s="159">
        <f t="shared" si="5"/>
        <v>8.5130909794049181</v>
      </c>
      <c r="AJ21" s="159">
        <f t="shared" si="6"/>
        <v>7.8738083080435546</v>
      </c>
      <c r="AN21" s="6" t="s">
        <v>2</v>
      </c>
      <c r="AO21" s="6" t="s">
        <v>127</v>
      </c>
      <c r="AP21" s="288" t="s">
        <v>128</v>
      </c>
      <c r="AS21" s="6" t="s">
        <v>147</v>
      </c>
      <c r="AT21" s="6" t="s">
        <v>127</v>
      </c>
      <c r="AU21" s="288" t="s">
        <v>128</v>
      </c>
      <c r="AY21" s="155" t="s">
        <v>51</v>
      </c>
      <c r="AZ21" s="87">
        <f t="shared" ref="AZ21:AZ23" si="7">VLOOKUP(AY21,$AN$21:$AO$35,2,FALSE)</f>
        <v>6092676</v>
      </c>
    </row>
    <row r="22" spans="2:64" x14ac:dyDescent="0.25">
      <c r="AE22"/>
      <c r="AF22"/>
      <c r="AG22"/>
      <c r="AI22" s="159">
        <f t="shared" si="5"/>
        <v>0</v>
      </c>
      <c r="AJ22" s="159">
        <f t="shared" si="6"/>
        <v>0</v>
      </c>
      <c r="AN22" s="290" t="s">
        <v>121</v>
      </c>
      <c r="AO22" s="291">
        <v>18310600.7683369</v>
      </c>
      <c r="AP22" s="292">
        <v>5.605766662054687E-2</v>
      </c>
      <c r="AS22" s="290" t="s">
        <v>259</v>
      </c>
      <c r="AT22" s="291">
        <v>5591229.75</v>
      </c>
      <c r="AU22" s="292">
        <v>1.2482612939852245E-2</v>
      </c>
      <c r="AY22" s="155" t="s">
        <v>44</v>
      </c>
      <c r="AZ22" s="87">
        <f t="shared" si="7"/>
        <v>15368350</v>
      </c>
      <c r="BC22" s="127" t="s">
        <v>301</v>
      </c>
    </row>
    <row r="23" spans="2:64" x14ac:dyDescent="0.25">
      <c r="B23" s="289" t="s">
        <v>2</v>
      </c>
      <c r="C23" s="289" t="s">
        <v>127</v>
      </c>
      <c r="D23" s="289" t="s">
        <v>128</v>
      </c>
      <c r="F23" s="289" t="s">
        <v>2</v>
      </c>
      <c r="G23" s="289" t="s">
        <v>127</v>
      </c>
      <c r="H23" s="289" t="s">
        <v>128</v>
      </c>
      <c r="L23" s="175" t="s">
        <v>315</v>
      </c>
      <c r="N23" s="175" t="s">
        <v>316</v>
      </c>
      <c r="P23" s="175" t="s">
        <v>315</v>
      </c>
      <c r="R23" s="175" t="s">
        <v>316</v>
      </c>
      <c r="AE23"/>
      <c r="AF23"/>
      <c r="AG23"/>
      <c r="AI23" s="111">
        <f t="shared" si="5"/>
        <v>0</v>
      </c>
      <c r="AJ23" s="111">
        <f t="shared" si="6"/>
        <v>0</v>
      </c>
      <c r="AN23" s="290" t="s">
        <v>120</v>
      </c>
      <c r="AO23" s="291">
        <v>102857227.05411118</v>
      </c>
      <c r="AP23" s="292">
        <v>0.31489606576338253</v>
      </c>
      <c r="AS23" s="290" t="s">
        <v>140</v>
      </c>
      <c r="AT23" s="291">
        <v>31500000</v>
      </c>
      <c r="AU23" s="292">
        <v>7.0324834640419789E-2</v>
      </c>
      <c r="AY23" s="155" t="s">
        <v>302</v>
      </c>
      <c r="AZ23" s="87">
        <f t="shared" si="7"/>
        <v>40685877</v>
      </c>
    </row>
    <row r="24" spans="2:64" x14ac:dyDescent="0.25">
      <c r="B24" s="290" t="s">
        <v>308</v>
      </c>
      <c r="C24" s="291">
        <v>111409109.91904333</v>
      </c>
      <c r="D24" s="292">
        <v>0.26290919891868531</v>
      </c>
      <c r="F24" s="290" t="s">
        <v>308</v>
      </c>
      <c r="G24" s="291">
        <v>505158824.21557736</v>
      </c>
      <c r="H24" s="292">
        <v>0.93212019628721454</v>
      </c>
      <c r="L24" s="176">
        <f>M33</f>
        <v>545951806.13915527</v>
      </c>
      <c r="N24" s="177">
        <f>M49</f>
        <v>0</v>
      </c>
      <c r="P24" s="177">
        <f>Q33</f>
        <v>559637687</v>
      </c>
      <c r="R24" s="177">
        <f>Q49</f>
        <v>0</v>
      </c>
      <c r="AE24"/>
      <c r="AF24"/>
      <c r="AG24"/>
      <c r="AI24" s="111">
        <f t="shared" ref="AI24" si="8">AF24/$E$2</f>
        <v>0</v>
      </c>
      <c r="AJ24" s="111">
        <f t="shared" ref="AJ24" si="9">AF24/$E$3</f>
        <v>0</v>
      </c>
      <c r="AN24" s="290" t="s">
        <v>51</v>
      </c>
      <c r="AO24" s="291">
        <v>6092676</v>
      </c>
      <c r="AP24" s="292">
        <v>1.8652648504335678E-2</v>
      </c>
      <c r="AS24" s="290" t="s">
        <v>67</v>
      </c>
      <c r="AT24" s="291">
        <v>23500000</v>
      </c>
      <c r="AU24" s="292">
        <v>5.2464559176186198E-2</v>
      </c>
      <c r="AY24" s="191" t="s">
        <v>158</v>
      </c>
      <c r="AZ24" s="113">
        <f>SUM(AZ20:AZ23)</f>
        <v>109199560.88802731</v>
      </c>
    </row>
    <row r="25" spans="2:64" x14ac:dyDescent="0.25">
      <c r="B25" s="293" t="s">
        <v>69</v>
      </c>
      <c r="C25" s="291">
        <v>14852</v>
      </c>
      <c r="D25" s="292">
        <v>3.504854697410048E-5</v>
      </c>
      <c r="F25" s="293" t="s">
        <v>74</v>
      </c>
      <c r="G25" s="291">
        <v>185288687.27000001</v>
      </c>
      <c r="H25" s="292">
        <v>0.34189510163680303</v>
      </c>
      <c r="L25" s="178">
        <f>L24/M19</f>
        <v>1</v>
      </c>
      <c r="N25" s="178">
        <f>N24/M19</f>
        <v>0</v>
      </c>
      <c r="O25" s="164"/>
      <c r="P25" s="178">
        <f>P24/Q19</f>
        <v>1</v>
      </c>
      <c r="Q25" s="164"/>
      <c r="R25" s="178">
        <f>R24/Q19</f>
        <v>0</v>
      </c>
      <c r="V25" s="126" t="s">
        <v>326</v>
      </c>
      <c r="W25" s="126"/>
      <c r="AN25" s="290" t="s">
        <v>44</v>
      </c>
      <c r="AO25" s="291">
        <v>15368350</v>
      </c>
      <c r="AP25" s="292">
        <v>4.7050004077290049E-2</v>
      </c>
      <c r="AS25" s="290" t="s">
        <v>55</v>
      </c>
      <c r="AT25" s="291">
        <v>0</v>
      </c>
      <c r="AU25" s="292">
        <v>0</v>
      </c>
    </row>
    <row r="26" spans="2:64" x14ac:dyDescent="0.25">
      <c r="B26" s="293" t="s">
        <v>270</v>
      </c>
      <c r="C26" s="291">
        <v>3946196.5210159998</v>
      </c>
      <c r="D26" s="292">
        <v>9.3124464136723119E-3</v>
      </c>
      <c r="F26" s="293" t="s">
        <v>72</v>
      </c>
      <c r="G26" s="291">
        <v>156238618.09675092</v>
      </c>
      <c r="H26" s="292">
        <v>0.2882918487945435</v>
      </c>
      <c r="AN26" s="290" t="s">
        <v>212</v>
      </c>
      <c r="AO26" s="291">
        <v>29509718.586378299</v>
      </c>
      <c r="AP26" s="292">
        <v>9.0343620480323586E-2</v>
      </c>
      <c r="AS26" s="290" t="s">
        <v>47</v>
      </c>
      <c r="AT26" s="291">
        <v>3000000</v>
      </c>
      <c r="AU26" s="292">
        <v>6.6976032990875992E-3</v>
      </c>
      <c r="AY26" s="92" t="s">
        <v>192</v>
      </c>
      <c r="AZ26" s="164">
        <f>AZ24/$E$2</f>
        <v>0.13134852922756146</v>
      </c>
      <c r="BC26" s="92" t="s">
        <v>479</v>
      </c>
      <c r="BD26" s="163">
        <f>BD16+BD15</f>
        <v>559637687</v>
      </c>
    </row>
    <row r="27" spans="2:64" x14ac:dyDescent="0.25">
      <c r="B27" s="293" t="s">
        <v>68</v>
      </c>
      <c r="C27" s="291">
        <v>107448061.39802733</v>
      </c>
      <c r="D27" s="292">
        <v>0.2535617039580389</v>
      </c>
      <c r="F27" s="293" t="s">
        <v>70</v>
      </c>
      <c r="G27" s="291">
        <v>4298337.5</v>
      </c>
      <c r="H27" s="292">
        <v>7.9313020027516855E-3</v>
      </c>
      <c r="V27" s="84" t="s">
        <v>327</v>
      </c>
      <c r="W27" s="179">
        <f>SUMIFS('Strategy Allocation Old'!$G$5:$G$97,'Strategy Allocation Old'!$C$5:$C$97,"Long Options")</f>
        <v>24471885.518952124</v>
      </c>
      <c r="AN27" s="290" t="s">
        <v>256</v>
      </c>
      <c r="AO27" s="291">
        <v>47052657.888027318</v>
      </c>
      <c r="AP27" s="292">
        <v>0.14405110148317934</v>
      </c>
      <c r="AS27" s="290" t="s">
        <v>77</v>
      </c>
      <c r="AT27" s="291">
        <v>5881036</v>
      </c>
      <c r="AU27" s="292">
        <v>1.3129615371884314E-2</v>
      </c>
      <c r="AY27" s="92" t="s">
        <v>193</v>
      </c>
      <c r="AZ27" s="164">
        <f>AZ24/$E$3</f>
        <v>0.12148503324858964</v>
      </c>
      <c r="BC27" s="92" t="s">
        <v>480</v>
      </c>
      <c r="BD27" s="87">
        <f>BD13</f>
        <v>0</v>
      </c>
    </row>
    <row r="28" spans="2:64" x14ac:dyDescent="0.25">
      <c r="B28" s="293" t="s">
        <v>123</v>
      </c>
      <c r="C28" s="291">
        <v>0</v>
      </c>
      <c r="D28" s="292">
        <v>0</v>
      </c>
      <c r="F28" s="293" t="s">
        <v>71</v>
      </c>
      <c r="G28" s="291">
        <v>139245352.0488264</v>
      </c>
      <c r="H28" s="292">
        <v>0.25693583614100107</v>
      </c>
      <c r="V28" s="92" t="s">
        <v>192</v>
      </c>
      <c r="W28" s="164">
        <f>W27/E2</f>
        <v>2.9435522855587266E-2</v>
      </c>
      <c r="AN28" s="290" t="s">
        <v>257</v>
      </c>
      <c r="AO28" s="291">
        <v>27268789.149999991</v>
      </c>
      <c r="AP28" s="292">
        <v>8.3483044093234621E-2</v>
      </c>
      <c r="AS28" s="290" t="s">
        <v>54</v>
      </c>
      <c r="AT28" s="291">
        <v>30312619.799999997</v>
      </c>
      <c r="AU28" s="292">
        <v>6.767396745882269E-2</v>
      </c>
      <c r="BC28" s="92" t="s">
        <v>481</v>
      </c>
      <c r="BD28" s="87">
        <f>BD12</f>
        <v>10931181.43</v>
      </c>
    </row>
    <row r="29" spans="2:64" x14ac:dyDescent="0.25">
      <c r="B29" s="290" t="s">
        <v>67</v>
      </c>
      <c r="C29" s="291">
        <v>76648751</v>
      </c>
      <c r="D29" s="292">
        <v>0.18087983772755395</v>
      </c>
      <c r="F29" s="293" t="s">
        <v>73</v>
      </c>
      <c r="G29" s="291">
        <v>20087829.300000001</v>
      </c>
      <c r="H29" s="292">
        <v>3.7066107712115208E-2</v>
      </c>
      <c r="V29" s="92" t="s">
        <v>193</v>
      </c>
      <c r="W29" s="164">
        <f>W27/E3</f>
        <v>2.7225089567659018E-2</v>
      </c>
      <c r="AN29" s="290" t="s">
        <v>274</v>
      </c>
      <c r="AO29" s="291">
        <v>6163056</v>
      </c>
      <c r="AP29" s="292">
        <v>1.8868115960956569E-2</v>
      </c>
      <c r="AS29" s="290" t="s">
        <v>72</v>
      </c>
      <c r="AT29" s="291">
        <v>156238618.09675092</v>
      </c>
      <c r="AU29" s="292">
        <v>0.34880809466989549</v>
      </c>
      <c r="AY29" s="127" t="s">
        <v>300</v>
      </c>
    </row>
    <row r="30" spans="2:64" x14ac:dyDescent="0.25">
      <c r="B30" s="293" t="s">
        <v>67</v>
      </c>
      <c r="C30" s="291">
        <v>23500000</v>
      </c>
      <c r="D30" s="292">
        <v>5.5456561667880509E-2</v>
      </c>
      <c r="F30" s="290" t="s">
        <v>67</v>
      </c>
      <c r="G30" s="291">
        <v>5287189</v>
      </c>
      <c r="H30" s="292">
        <v>9.7559330100595119E-3</v>
      </c>
      <c r="M30" s="87"/>
      <c r="AN30" s="290" t="s">
        <v>302</v>
      </c>
      <c r="AO30" s="291">
        <v>40685877</v>
      </c>
      <c r="AP30" s="292">
        <v>0.12455928442143245</v>
      </c>
      <c r="AS30" s="290" t="s">
        <v>73</v>
      </c>
      <c r="AT30" s="291">
        <v>20087829.300000001</v>
      </c>
      <c r="AU30" s="292">
        <v>4.4846770597062852E-2</v>
      </c>
    </row>
    <row r="31" spans="2:64" x14ac:dyDescent="0.25">
      <c r="B31" s="293" t="s">
        <v>52</v>
      </c>
      <c r="C31" s="291">
        <v>1550293</v>
      </c>
      <c r="D31" s="292">
        <v>3.658464653522701E-3</v>
      </c>
      <c r="F31" s="293" t="s">
        <v>53</v>
      </c>
      <c r="G31" s="291">
        <v>4287189</v>
      </c>
      <c r="H31" s="292">
        <v>7.9107307655285307E-3</v>
      </c>
      <c r="V31" s="84" t="s">
        <v>328</v>
      </c>
      <c r="W31" s="179">
        <f>SUMIFS('Strategy Allocation Old'!$F$5:$F$97,'Strategy Allocation Old'!$C$5:$C$97,"PSAR")</f>
        <v>3777779655.0119004</v>
      </c>
      <c r="AN31" s="290" t="s">
        <v>432</v>
      </c>
      <c r="AO31" s="291">
        <v>19829701.5</v>
      </c>
      <c r="AP31" s="292">
        <v>6.0708373795914629E-2</v>
      </c>
      <c r="AS31" s="290" t="s">
        <v>270</v>
      </c>
      <c r="AT31" s="291">
        <v>3946196.5210159998</v>
      </c>
      <c r="AU31" s="292">
        <v>8.8100196126682552E-3</v>
      </c>
    </row>
    <row r="32" spans="2:64" x14ac:dyDescent="0.25">
      <c r="B32" s="293" t="s">
        <v>281</v>
      </c>
      <c r="C32" s="291">
        <v>48398458</v>
      </c>
      <c r="D32" s="292">
        <v>0.11421327960456701</v>
      </c>
      <c r="F32" s="293" t="s">
        <v>439</v>
      </c>
      <c r="G32" s="291">
        <v>1000000</v>
      </c>
      <c r="H32" s="292">
        <v>1.845202244530981E-3</v>
      </c>
      <c r="V32" s="92" t="s">
        <v>183</v>
      </c>
      <c r="W32" s="159">
        <f>W31/E2</f>
        <v>4.544027442934726</v>
      </c>
      <c r="AE32" s="6" t="s">
        <v>148</v>
      </c>
      <c r="AF32" s="6" t="s">
        <v>330</v>
      </c>
      <c r="AN32" s="290" t="s">
        <v>449</v>
      </c>
      <c r="AO32" s="291">
        <v>13500000</v>
      </c>
      <c r="AP32" s="292">
        <v>4.133007479940369E-2</v>
      </c>
      <c r="AS32" s="290" t="s">
        <v>276</v>
      </c>
      <c r="AT32" s="291">
        <v>5128618.47</v>
      </c>
      <c r="AU32" s="292">
        <v>1.1449817328144532E-2</v>
      </c>
      <c r="AY32" s="106" t="s">
        <v>304</v>
      </c>
    </row>
    <row r="33" spans="2:51" x14ac:dyDescent="0.25">
      <c r="B33" s="293" t="s">
        <v>442</v>
      </c>
      <c r="C33" s="291">
        <v>0</v>
      </c>
      <c r="D33" s="292">
        <v>0</v>
      </c>
      <c r="F33" s="290" t="s">
        <v>66</v>
      </c>
      <c r="G33" s="291">
        <v>31500000</v>
      </c>
      <c r="H33" s="292">
        <v>5.8123870702725899E-2</v>
      </c>
      <c r="L33" s="180" t="s">
        <v>315</v>
      </c>
      <c r="M33" s="181">
        <f>SUM(M34:M45)</f>
        <v>545951806.13915527</v>
      </c>
      <c r="N33" s="182">
        <f>M33/M19</f>
        <v>1</v>
      </c>
      <c r="O33" s="183"/>
      <c r="P33" s="184" t="s">
        <v>315</v>
      </c>
      <c r="Q33" s="181">
        <f>SUM(Q34:Q36)</f>
        <v>559637687</v>
      </c>
      <c r="R33" s="185">
        <f>Q33/Q19</f>
        <v>1</v>
      </c>
      <c r="V33" s="92" t="s">
        <v>184</v>
      </c>
      <c r="W33" s="159">
        <f>W31/E3</f>
        <v>4.2027979166103497</v>
      </c>
      <c r="AE33" s="290" t="s">
        <v>58</v>
      </c>
      <c r="AF33" s="291">
        <v>304237500</v>
      </c>
      <c r="AN33" s="299" t="s">
        <v>64</v>
      </c>
      <c r="AO33" s="10">
        <v>326638653.9468537</v>
      </c>
      <c r="AP33" s="300">
        <v>1</v>
      </c>
      <c r="AS33" s="290" t="s">
        <v>281</v>
      </c>
      <c r="AT33" s="291">
        <v>48398458</v>
      </c>
      <c r="AU33" s="292">
        <v>0.10805122399051754</v>
      </c>
      <c r="AY33" s="106" t="s">
        <v>305</v>
      </c>
    </row>
    <row r="34" spans="2:51" x14ac:dyDescent="0.25">
      <c r="B34" s="293" t="s">
        <v>443</v>
      </c>
      <c r="C34" s="291">
        <v>700000</v>
      </c>
      <c r="D34" s="292">
        <v>1.6518975815964408E-3</v>
      </c>
      <c r="F34" s="293" t="s">
        <v>140</v>
      </c>
      <c r="G34" s="291">
        <v>31500000</v>
      </c>
      <c r="H34" s="292">
        <v>5.8123870702725899E-2</v>
      </c>
      <c r="L34" s="186"/>
      <c r="M34" s="87"/>
      <c r="N34" s="164"/>
      <c r="P34" s="155" t="s">
        <v>279</v>
      </c>
      <c r="Q34" s="87">
        <f>SUMIFS('Strategy Allocation Old'!$F$5:$F$64,'Strategy Allocation Old'!$C$5:$C$64,Mastersheet!P34)</f>
        <v>255400187</v>
      </c>
      <c r="R34" s="153">
        <f>Q34/$Q$33</f>
        <v>0.4563670262614033</v>
      </c>
      <c r="AE34" s="293" t="s">
        <v>75</v>
      </c>
      <c r="AF34" s="291">
        <v>304237500</v>
      </c>
      <c r="AS34" s="290" t="s">
        <v>307</v>
      </c>
      <c r="AT34" s="291">
        <v>0</v>
      </c>
      <c r="AU34" s="292">
        <v>0</v>
      </c>
    </row>
    <row r="35" spans="2:51" x14ac:dyDescent="0.25">
      <c r="B35" s="293" t="s">
        <v>471</v>
      </c>
      <c r="C35" s="291">
        <v>2500000</v>
      </c>
      <c r="D35" s="292">
        <v>5.8996342199872879E-3</v>
      </c>
      <c r="F35" s="290" t="s">
        <v>64</v>
      </c>
      <c r="G35" s="291">
        <v>541946013.21557736</v>
      </c>
      <c r="H35" s="292">
        <v>1</v>
      </c>
      <c r="L35" s="186" t="s">
        <v>256</v>
      </c>
      <c r="M35" s="87">
        <f>SUMIFS('Mutual Funds'!$L$24:$L$79,'Mutual Funds'!$H$24:$H$79,L35)+SUMIFS('Equity Holdings'!$K$4:$K$83,'Equity Holdings'!$H$4:$H$83,L35)</f>
        <v>44949445.909155235</v>
      </c>
      <c r="N35" s="164">
        <f t="shared" ref="N35:N45" si="10">M35/$M$33</f>
        <v>8.2332259741070016E-2</v>
      </c>
      <c r="P35" s="155" t="s">
        <v>58</v>
      </c>
      <c r="Q35" s="87">
        <f>SUMIFS('Strategy Allocation Old'!$F$5:$F$64,'Strategy Allocation Old'!$C$5:$C$64,Mastersheet!P35)</f>
        <v>304237500</v>
      </c>
      <c r="R35" s="153">
        <f>Q35/$Q$33</f>
        <v>0.54363297373859665</v>
      </c>
      <c r="AE35" s="290" t="s">
        <v>279</v>
      </c>
      <c r="AF35" s="291">
        <v>255400187</v>
      </c>
      <c r="AS35" s="290" t="s">
        <v>431</v>
      </c>
      <c r="AT35" s="291">
        <v>42915812</v>
      </c>
      <c r="AU35" s="292">
        <v>9.5811028011407728E-2</v>
      </c>
    </row>
    <row r="36" spans="2:51" x14ac:dyDescent="0.25">
      <c r="B36" s="290" t="s">
        <v>65</v>
      </c>
      <c r="C36" s="291">
        <v>114840558.8</v>
      </c>
      <c r="D36" s="292">
        <v>0.27100691621557693</v>
      </c>
      <c r="F36"/>
      <c r="G36"/>
      <c r="H36"/>
      <c r="L36" s="186" t="s">
        <v>257</v>
      </c>
      <c r="M36" s="87">
        <f>SUMIFS('Mutual Funds'!$L$24:$L$79,'Mutual Funds'!$H$24:$H$79,L36)+SUMIFS('Equity Holdings'!$K$4:$K$83,'Equity Holdings'!$H$4:$H$83,L36)</f>
        <v>25657302.300000001</v>
      </c>
      <c r="N36" s="164">
        <f t="shared" si="10"/>
        <v>4.6995544316342681E-2</v>
      </c>
      <c r="P36" s="186" t="s">
        <v>274</v>
      </c>
      <c r="Q36" s="87">
        <f>SUMIFS('Mutual Funds'!$L$24:$L$79,'Mutual Funds'!$H$24:$H$79,P36)+SUMIFS('Equity Holdings'!$K$4:$K$83,'Equity Holdings'!$H$4:$H$83,P36)</f>
        <v>0</v>
      </c>
      <c r="R36" s="153">
        <f>Q36/$Q$33</f>
        <v>0</v>
      </c>
      <c r="AE36" s="293" t="s">
        <v>260</v>
      </c>
      <c r="AF36" s="291">
        <v>10449600</v>
      </c>
      <c r="AS36" s="290" t="s">
        <v>435</v>
      </c>
      <c r="AT36" s="291">
        <v>10200000</v>
      </c>
      <c r="AU36" s="292">
        <v>2.2771851216897839E-2</v>
      </c>
    </row>
    <row r="37" spans="2:51" x14ac:dyDescent="0.25">
      <c r="B37" s="293" t="s">
        <v>55</v>
      </c>
      <c r="C37" s="291">
        <v>0</v>
      </c>
      <c r="D37" s="292">
        <v>0</v>
      </c>
      <c r="L37" s="186" t="s">
        <v>120</v>
      </c>
      <c r="M37" s="87">
        <f>SUMIFS('Mutual Funds'!$L$24:$L$79,'Mutual Funds'!$H$24:$H$79,L37)+SUMIFS('Equity Holdings'!$K$4:$K$83,'Equity Holdings'!$H$4:$H$83,L37)</f>
        <v>10931181.43</v>
      </c>
      <c r="N37" s="164">
        <f t="shared" si="10"/>
        <v>2.002224611601303E-2</v>
      </c>
      <c r="R37" s="187"/>
      <c r="V37" s="126" t="s">
        <v>329</v>
      </c>
      <c r="W37" s="126"/>
      <c r="X37" s="126"/>
      <c r="Y37" s="126"/>
      <c r="Z37" s="126"/>
      <c r="AA37" s="126"/>
      <c r="AE37" s="293" t="s">
        <v>139</v>
      </c>
      <c r="AF37" s="291">
        <v>116732187</v>
      </c>
      <c r="AN37" s="1" t="s">
        <v>336</v>
      </c>
      <c r="AO37" s="2"/>
      <c r="AP37" s="2"/>
      <c r="AS37" s="290" t="s">
        <v>436</v>
      </c>
      <c r="AT37" s="291">
        <v>39226199</v>
      </c>
      <c r="AU37" s="292">
        <v>8.7573839944355567E-2</v>
      </c>
    </row>
    <row r="38" spans="2:51" x14ac:dyDescent="0.25">
      <c r="B38" s="293" t="s">
        <v>47</v>
      </c>
      <c r="C38" s="291">
        <v>3000000</v>
      </c>
      <c r="D38" s="292">
        <v>7.0795610639847462E-3</v>
      </c>
      <c r="L38" s="186" t="s">
        <v>212</v>
      </c>
      <c r="M38" s="87">
        <f>SUMIFS('Mutual Funds'!$L$24:$L$79,'Mutual Funds'!$H$24:$H$79,L38)+SUMIFS('Equity Holdings'!$K$4:$K$83,'Equity Holdings'!$H$4:$H$83,L38)</f>
        <v>0</v>
      </c>
      <c r="N38" s="164">
        <f t="shared" si="10"/>
        <v>0</v>
      </c>
      <c r="R38" s="187"/>
      <c r="AE38" s="293" t="s">
        <v>138</v>
      </c>
      <c r="AF38" s="291">
        <v>0</v>
      </c>
      <c r="AS38" s="290" t="s">
        <v>441</v>
      </c>
      <c r="AT38" s="291">
        <v>2625000</v>
      </c>
      <c r="AU38" s="292">
        <v>5.8604028867016494E-3</v>
      </c>
    </row>
    <row r="39" spans="2:51" x14ac:dyDescent="0.25">
      <c r="B39" s="293" t="s">
        <v>51</v>
      </c>
      <c r="C39" s="291">
        <v>6092676</v>
      </c>
      <c r="D39" s="292">
        <v>1.4377823928358109E-2</v>
      </c>
      <c r="L39" s="186" t="s">
        <v>121</v>
      </c>
      <c r="M39" s="87">
        <f>SUMIFS('Mutual Funds'!$L$24:$L$79,'Mutual Funds'!$H$24:$H$79,L39)+SUMIFS('Equity Holdings'!$K$4:$K$83,'Equity Holdings'!$H$4:$H$83,L39)</f>
        <v>0</v>
      </c>
      <c r="N39" s="164">
        <f t="shared" si="10"/>
        <v>0</v>
      </c>
      <c r="R39" s="187"/>
      <c r="V39" s="6" t="s">
        <v>131</v>
      </c>
      <c r="W39" s="6" t="s">
        <v>136</v>
      </c>
      <c r="AE39" s="293" t="s">
        <v>437</v>
      </c>
      <c r="AF39" s="291">
        <v>90922400</v>
      </c>
      <c r="AN39" s="134" t="s">
        <v>76</v>
      </c>
      <c r="AO39" t="s">
        <v>78</v>
      </c>
      <c r="AS39" s="290" t="s">
        <v>439</v>
      </c>
      <c r="AT39" s="291">
        <v>1000000</v>
      </c>
      <c r="AU39" s="292">
        <v>2.2325344330291997E-3</v>
      </c>
    </row>
    <row r="40" spans="2:51" x14ac:dyDescent="0.25">
      <c r="B40" s="293" t="s">
        <v>44</v>
      </c>
      <c r="C40" s="291">
        <v>15368350</v>
      </c>
      <c r="D40" s="292">
        <v>3.6267057425896657E-2</v>
      </c>
      <c r="L40" s="186" t="s">
        <v>44</v>
      </c>
      <c r="M40" s="87">
        <f>SUMIFS('Mutual Funds'!$L$24:$L$79,'Mutual Funds'!$H$24:$H$79,L40)+SUMIFS('Equity Holdings'!$K$4:$K$83,'Equity Holdings'!$H$4:$H$83,L40)</f>
        <v>0</v>
      </c>
      <c r="N40" s="164">
        <f t="shared" si="10"/>
        <v>0</v>
      </c>
      <c r="R40" s="187"/>
      <c r="AE40" s="293" t="s">
        <v>438</v>
      </c>
      <c r="AF40" s="291">
        <v>37296000</v>
      </c>
      <c r="AS40" s="290" t="s">
        <v>440</v>
      </c>
      <c r="AT40" s="291">
        <v>15169806</v>
      </c>
      <c r="AU40" s="292">
        <v>3.3867114237372951E-2</v>
      </c>
    </row>
    <row r="41" spans="2:51" x14ac:dyDescent="0.25">
      <c r="B41" s="293" t="s">
        <v>77</v>
      </c>
      <c r="C41" s="291">
        <v>5881036</v>
      </c>
      <c r="D41" s="292">
        <v>1.3878384493830864E-2</v>
      </c>
      <c r="L41" s="186" t="s">
        <v>302</v>
      </c>
      <c r="M41" s="87">
        <f>SUMIFS('Mutual Funds'!$L$24:$L$79,'Mutual Funds'!$H$24:$H$79,L41)+SUMIFS('Equity Holdings'!$K$4:$K$83,'Equity Holdings'!$H$4:$H$83,L41)</f>
        <v>0</v>
      </c>
      <c r="N41" s="164">
        <f t="shared" si="10"/>
        <v>0</v>
      </c>
      <c r="R41" s="187"/>
      <c r="V41" s="6" t="s">
        <v>130</v>
      </c>
      <c r="W41" s="6" t="s">
        <v>331</v>
      </c>
      <c r="X41" s="6" t="s">
        <v>332</v>
      </c>
      <c r="Y41" s="6" t="s">
        <v>180</v>
      </c>
      <c r="Z41" s="85" t="s">
        <v>429</v>
      </c>
      <c r="AA41" s="85" t="s">
        <v>428</v>
      </c>
      <c r="AE41" s="290" t="s">
        <v>134</v>
      </c>
      <c r="AF41" s="291">
        <v>1512312063.1346207</v>
      </c>
      <c r="AN41" s="133" t="s">
        <v>2</v>
      </c>
      <c r="AO41" s="133" t="s">
        <v>127</v>
      </c>
      <c r="AP41" s="133" t="s">
        <v>128</v>
      </c>
      <c r="AS41" s="290" t="s">
        <v>442</v>
      </c>
      <c r="AT41" s="291">
        <v>0</v>
      </c>
      <c r="AU41" s="292">
        <v>0</v>
      </c>
    </row>
    <row r="42" spans="2:51" x14ac:dyDescent="0.25">
      <c r="B42" s="293" t="s">
        <v>54</v>
      </c>
      <c r="C42" s="291">
        <v>30312619.799999997</v>
      </c>
      <c r="D42" s="292">
        <v>7.1533347627817684E-2</v>
      </c>
      <c r="L42" s="186" t="s">
        <v>51</v>
      </c>
      <c r="M42" s="87">
        <f>SUMIFS('Mutual Funds'!$L$24:$L$79,'Mutual Funds'!$H$24:$H$79,L42)+SUMIFS('Equity Holdings'!$K$4:$K$83,'Equity Holdings'!$H$4:$H$83,L42)</f>
        <v>0</v>
      </c>
      <c r="N42" s="164">
        <f t="shared" si="10"/>
        <v>0</v>
      </c>
      <c r="R42" s="187"/>
      <c r="V42" s="290" t="s">
        <v>276</v>
      </c>
      <c r="W42" s="291">
        <v>20737500</v>
      </c>
      <c r="X42" s="294">
        <v>6</v>
      </c>
      <c r="Y42" s="291">
        <v>124425000</v>
      </c>
      <c r="Z42" s="164">
        <v>0.1</v>
      </c>
      <c r="AA42" s="232">
        <f>IF(Z42&gt;0%,W42*Z42,Z42*Y42)</f>
        <v>2073750</v>
      </c>
      <c r="AE42" s="293" t="s">
        <v>276</v>
      </c>
      <c r="AF42" s="291">
        <v>20737500</v>
      </c>
      <c r="AN42" s="132" t="s">
        <v>53</v>
      </c>
      <c r="AO42" s="79">
        <v>4287189</v>
      </c>
      <c r="AP42" s="131">
        <v>2.2429455338862331E-2</v>
      </c>
      <c r="AS42" s="290" t="s">
        <v>443</v>
      </c>
      <c r="AT42" s="291">
        <v>700000</v>
      </c>
      <c r="AU42" s="292">
        <v>1.5627741031204398E-3</v>
      </c>
    </row>
    <row r="43" spans="2:51" x14ac:dyDescent="0.25">
      <c r="B43" s="293" t="s">
        <v>302</v>
      </c>
      <c r="C43" s="291">
        <v>40685877</v>
      </c>
      <c r="D43" s="292">
        <v>9.6012716887757504E-2</v>
      </c>
      <c r="L43" s="186" t="s">
        <v>271</v>
      </c>
      <c r="M43" s="87">
        <f>SUMIFS('Strategy Allocation Old'!$F$5:$F$64,'Strategy Allocation Old'!$C$5:$C$64,Mastersheet!L43)</f>
        <v>41460000</v>
      </c>
      <c r="N43" s="164">
        <f t="shared" si="10"/>
        <v>7.5940769008890213E-2</v>
      </c>
      <c r="R43" s="187"/>
      <c r="V43" s="290" t="s">
        <v>260</v>
      </c>
      <c r="W43" s="291">
        <v>26124000</v>
      </c>
      <c r="X43" s="294">
        <v>3</v>
      </c>
      <c r="Y43" s="291">
        <v>78372000</v>
      </c>
      <c r="Z43" s="164">
        <v>0.1</v>
      </c>
      <c r="AA43" s="232">
        <f t="shared" ref="AA43:AA48" si="11">IF(Z43&gt;0%,W43*Z43,Z43*Y43)</f>
        <v>2612400</v>
      </c>
      <c r="AE43" s="293" t="s">
        <v>260</v>
      </c>
      <c r="AF43" s="291">
        <v>26124000</v>
      </c>
      <c r="AN43" s="132" t="s">
        <v>52</v>
      </c>
      <c r="AO43" s="79">
        <v>1550293</v>
      </c>
      <c r="AP43" s="131">
        <v>8.11072887284673E-3</v>
      </c>
      <c r="AS43" s="290" t="s">
        <v>471</v>
      </c>
      <c r="AT43" s="291">
        <v>2500000</v>
      </c>
      <c r="AU43" s="292">
        <v>5.5813360825729998E-3</v>
      </c>
    </row>
    <row r="44" spans="2:51" x14ac:dyDescent="0.25">
      <c r="B44" s="293" t="s">
        <v>448</v>
      </c>
      <c r="C44" s="291">
        <v>0</v>
      </c>
      <c r="D44" s="292">
        <v>0</v>
      </c>
      <c r="L44" s="186" t="s">
        <v>280</v>
      </c>
      <c r="M44" s="87">
        <f>SUMIFS('Strategy Allocation Old'!$F$5:$F$64,'Strategy Allocation Old'!$C$5:$C$64,Mastersheet!L44)</f>
        <v>405463080.5</v>
      </c>
      <c r="N44" s="164">
        <f t="shared" si="10"/>
        <v>0.74267192807244475</v>
      </c>
      <c r="R44" s="187"/>
      <c r="V44" s="290" t="s">
        <v>139</v>
      </c>
      <c r="W44" s="291">
        <v>249427750</v>
      </c>
      <c r="X44" s="294">
        <v>3.34</v>
      </c>
      <c r="Y44" s="291">
        <v>833088685</v>
      </c>
      <c r="Z44" s="164">
        <v>0.1</v>
      </c>
      <c r="AA44" s="232">
        <f t="shared" si="11"/>
        <v>24942775</v>
      </c>
      <c r="AE44" s="293" t="s">
        <v>139</v>
      </c>
      <c r="AF44" s="291">
        <v>249427750</v>
      </c>
      <c r="AN44" s="132" t="s">
        <v>74</v>
      </c>
      <c r="AO44" s="79">
        <v>185288687.27000001</v>
      </c>
      <c r="AP44" s="131">
        <v>0.96938211399564944</v>
      </c>
      <c r="AS44" s="299" t="s">
        <v>64</v>
      </c>
      <c r="AT44" s="10">
        <v>447921422.93776697</v>
      </c>
      <c r="AU44" s="300">
        <v>1</v>
      </c>
    </row>
    <row r="45" spans="2:51" x14ac:dyDescent="0.25">
      <c r="B45" s="293" t="s">
        <v>449</v>
      </c>
      <c r="C45" s="291">
        <v>13500000</v>
      </c>
      <c r="D45" s="292">
        <v>3.1858024787931358E-2</v>
      </c>
      <c r="L45" s="186" t="s">
        <v>432</v>
      </c>
      <c r="M45" s="87">
        <f>SUMIFS('Mutual Funds'!$L$24:$L$79,'Mutual Funds'!$H$24:$H$79,L45)+SUMIFS('Equity Holdings'!$K$4:$K$83,'Equity Holdings'!$H$4:$H$83,L45)</f>
        <v>17490796</v>
      </c>
      <c r="N45" s="164">
        <f t="shared" si="10"/>
        <v>3.2037252745239289E-2</v>
      </c>
      <c r="R45" s="187"/>
      <c r="V45" s="290" t="s">
        <v>75</v>
      </c>
      <c r="W45" s="291">
        <v>782331813.13462067</v>
      </c>
      <c r="X45" s="294">
        <v>2.12</v>
      </c>
      <c r="Y45" s="291">
        <v>1658543443.8453958</v>
      </c>
      <c r="Z45" s="164">
        <v>0</v>
      </c>
      <c r="AA45" s="232">
        <f t="shared" si="11"/>
        <v>0</v>
      </c>
      <c r="AE45" s="293" t="s">
        <v>75</v>
      </c>
      <c r="AF45" s="291">
        <v>782331813.13462067</v>
      </c>
      <c r="AN45" s="132" t="s">
        <v>69</v>
      </c>
      <c r="AO45" s="79">
        <v>14852</v>
      </c>
      <c r="AP45" s="131">
        <v>7.7701792641468175E-5</v>
      </c>
      <c r="AS45"/>
      <c r="AT45"/>
      <c r="AU45"/>
    </row>
    <row r="46" spans="2:51" x14ac:dyDescent="0.25">
      <c r="B46" s="290" t="s">
        <v>66</v>
      </c>
      <c r="C46" s="291">
        <v>120856665.22</v>
      </c>
      <c r="D46" s="292">
        <v>0.28520404713818381</v>
      </c>
      <c r="L46" s="152"/>
      <c r="R46" s="187"/>
      <c r="V46" s="290" t="s">
        <v>138</v>
      </c>
      <c r="W46" s="291">
        <v>116820000</v>
      </c>
      <c r="X46" s="294">
        <v>2</v>
      </c>
      <c r="Y46" s="291">
        <v>233640000</v>
      </c>
      <c r="Z46" s="164">
        <v>0.1</v>
      </c>
      <c r="AA46" s="232">
        <f t="shared" si="11"/>
        <v>11682000</v>
      </c>
      <c r="AE46" s="293" t="s">
        <v>138</v>
      </c>
      <c r="AF46" s="291">
        <v>116820000</v>
      </c>
      <c r="AN46" s="132" t="s">
        <v>448</v>
      </c>
      <c r="AO46" s="79">
        <v>0</v>
      </c>
      <c r="AP46" s="131">
        <v>0</v>
      </c>
      <c r="AS46"/>
      <c r="AT46"/>
      <c r="AU46"/>
    </row>
    <row r="47" spans="2:51" x14ac:dyDescent="0.25">
      <c r="B47" s="293" t="s">
        <v>259</v>
      </c>
      <c r="C47" s="291">
        <v>5591229.75</v>
      </c>
      <c r="D47" s="292">
        <v>1.3194484145964388E-2</v>
      </c>
      <c r="L47" s="152"/>
      <c r="R47" s="187"/>
      <c r="V47" s="290" t="s">
        <v>437</v>
      </c>
      <c r="W47" s="291">
        <v>227306000</v>
      </c>
      <c r="X47" s="294">
        <v>3</v>
      </c>
      <c r="Y47" s="291">
        <v>681918000</v>
      </c>
      <c r="Z47" s="164">
        <v>0.1</v>
      </c>
      <c r="AA47" s="232">
        <f t="shared" si="11"/>
        <v>22730600</v>
      </c>
      <c r="AE47" s="293" t="s">
        <v>437</v>
      </c>
      <c r="AF47" s="291">
        <v>227306000</v>
      </c>
      <c r="AN47" s="137" t="s">
        <v>64</v>
      </c>
      <c r="AO47" s="135">
        <v>191141021.27000001</v>
      </c>
      <c r="AP47" s="136">
        <v>1</v>
      </c>
      <c r="AS47"/>
      <c r="AT47"/>
      <c r="AU47"/>
    </row>
    <row r="48" spans="2:51" x14ac:dyDescent="0.25">
      <c r="B48" s="293" t="s">
        <v>276</v>
      </c>
      <c r="C48" s="291">
        <v>5128618.47</v>
      </c>
      <c r="D48" s="292">
        <v>1.210278921074834E-2</v>
      </c>
      <c r="L48" s="152"/>
      <c r="R48" s="187"/>
      <c r="V48" s="290" t="s">
        <v>438</v>
      </c>
      <c r="W48" s="291">
        <v>89460000</v>
      </c>
      <c r="X48" s="294">
        <v>3</v>
      </c>
      <c r="Y48" s="291">
        <v>268380000</v>
      </c>
      <c r="Z48" s="164">
        <v>0.1</v>
      </c>
      <c r="AA48" s="232">
        <f t="shared" si="11"/>
        <v>8946000</v>
      </c>
      <c r="AE48" s="293" t="s">
        <v>438</v>
      </c>
      <c r="AF48" s="291">
        <v>89460000</v>
      </c>
      <c r="AN48"/>
      <c r="AO48"/>
      <c r="AP48"/>
      <c r="AS48"/>
      <c r="AT48"/>
      <c r="AU48"/>
    </row>
    <row r="49" spans="2:42" x14ac:dyDescent="0.25">
      <c r="B49" s="293" t="s">
        <v>431</v>
      </c>
      <c r="C49" s="291">
        <v>42915812</v>
      </c>
      <c r="D49" s="292">
        <v>0.10127503722149644</v>
      </c>
      <c r="L49" s="188" t="s">
        <v>316</v>
      </c>
      <c r="M49" s="113">
        <f>SUM(M50:M51)</f>
        <v>0</v>
      </c>
      <c r="N49" s="164">
        <f>M49/M19</f>
        <v>0</v>
      </c>
      <c r="P49" s="115" t="s">
        <v>316</v>
      </c>
      <c r="Q49" s="113">
        <f>SUM(Q50:Q51)</f>
        <v>0</v>
      </c>
      <c r="R49" s="153">
        <f>Q49/Q19</f>
        <v>0</v>
      </c>
      <c r="V49" s="290" t="s">
        <v>506</v>
      </c>
      <c r="W49" s="291">
        <v>7000000</v>
      </c>
      <c r="X49" s="294">
        <v>2</v>
      </c>
      <c r="Y49" s="291">
        <v>14000000</v>
      </c>
      <c r="Z49" s="164">
        <v>0.1</v>
      </c>
      <c r="AA49" s="232">
        <f t="shared" ref="AA49" si="12">IF(Z49&gt;0%,W49*Z49,Z49*Y49)</f>
        <v>700000</v>
      </c>
      <c r="AE49" s="293" t="s">
        <v>506</v>
      </c>
      <c r="AF49" s="291">
        <v>105000</v>
      </c>
      <c r="AN49"/>
      <c r="AO49"/>
      <c r="AP49"/>
    </row>
    <row r="50" spans="2:42" x14ac:dyDescent="0.25">
      <c r="B50" s="293" t="s">
        <v>435</v>
      </c>
      <c r="C50" s="291">
        <v>10200000</v>
      </c>
      <c r="D50" s="292">
        <v>2.4070507617548136E-2</v>
      </c>
      <c r="L50" s="186"/>
      <c r="M50" s="87"/>
      <c r="N50" s="164" t="e">
        <f>M50/$M$49</f>
        <v>#DIV/0!</v>
      </c>
      <c r="P50" s="155"/>
      <c r="Q50" s="87"/>
      <c r="R50" s="153" t="e">
        <f>Q50/$Q$49</f>
        <v>#DIV/0!</v>
      </c>
      <c r="V50" s="295" t="s">
        <v>64</v>
      </c>
      <c r="W50" s="296">
        <v>1519207063.1346207</v>
      </c>
      <c r="X50" s="297">
        <v>24.46</v>
      </c>
      <c r="Y50" s="296">
        <v>3892367128.845396</v>
      </c>
      <c r="Z50" s="171"/>
      <c r="AA50" s="171">
        <f>SUM(AA42:AA49)</f>
        <v>73687525</v>
      </c>
      <c r="AE50" s="290" t="s">
        <v>136</v>
      </c>
      <c r="AF50" s="291">
        <v>3892367128.845396</v>
      </c>
      <c r="AN50"/>
      <c r="AO50"/>
      <c r="AP50"/>
    </row>
    <row r="51" spans="2:42" x14ac:dyDescent="0.25">
      <c r="B51" s="293" t="s">
        <v>436</v>
      </c>
      <c r="C51" s="291">
        <v>39226199</v>
      </c>
      <c r="D51" s="292">
        <v>9.256809037617246E-2</v>
      </c>
      <c r="L51" s="189"/>
      <c r="M51" s="168"/>
      <c r="N51" s="166" t="e">
        <f>M51/$M$49</f>
        <v>#DIV/0!</v>
      </c>
      <c r="O51" s="174"/>
      <c r="P51" s="190"/>
      <c r="Q51" s="168"/>
      <c r="R51" s="169" t="e">
        <f>Q51/$Q$49</f>
        <v>#DIV/0!</v>
      </c>
      <c r="AE51" s="293" t="s">
        <v>276</v>
      </c>
      <c r="AF51" s="291">
        <v>124425000</v>
      </c>
      <c r="AN51"/>
      <c r="AO51"/>
      <c r="AP51"/>
    </row>
    <row r="52" spans="2:42" x14ac:dyDescent="0.25">
      <c r="B52" s="293" t="s">
        <v>441</v>
      </c>
      <c r="C52" s="291">
        <v>2625000</v>
      </c>
      <c r="D52" s="292">
        <v>6.1946159309866529E-3</v>
      </c>
      <c r="AE52" s="293" t="s">
        <v>260</v>
      </c>
      <c r="AF52" s="291">
        <v>78372000</v>
      </c>
      <c r="AN52"/>
      <c r="AO52"/>
      <c r="AP52"/>
    </row>
    <row r="53" spans="2:42" x14ac:dyDescent="0.25">
      <c r="B53" s="293" t="s">
        <v>440</v>
      </c>
      <c r="C53" s="291">
        <v>15169806</v>
      </c>
      <c r="D53" s="292">
        <v>3.5798522635267394E-2</v>
      </c>
      <c r="AE53" s="293" t="s">
        <v>139</v>
      </c>
      <c r="AF53" s="291">
        <v>833088685</v>
      </c>
      <c r="AN53"/>
      <c r="AO53"/>
      <c r="AP53"/>
    </row>
    <row r="54" spans="2:42" x14ac:dyDescent="0.25">
      <c r="B54" s="290" t="s">
        <v>64</v>
      </c>
      <c r="C54" s="291">
        <v>423755084.93904334</v>
      </c>
      <c r="D54" s="292">
        <v>1</v>
      </c>
      <c r="AE54" s="293" t="s">
        <v>75</v>
      </c>
      <c r="AF54" s="291">
        <v>1658543443.8453958</v>
      </c>
      <c r="AN54"/>
      <c r="AO54"/>
      <c r="AP54"/>
    </row>
    <row r="55" spans="2:42" x14ac:dyDescent="0.25">
      <c r="B55"/>
      <c r="C55"/>
      <c r="D55"/>
      <c r="P55" s="224"/>
      <c r="AE55" s="293" t="s">
        <v>138</v>
      </c>
      <c r="AF55" s="291">
        <v>233640000</v>
      </c>
      <c r="AN55"/>
      <c r="AO55"/>
      <c r="AP55"/>
    </row>
    <row r="56" spans="2:42" x14ac:dyDescent="0.25">
      <c r="B56"/>
      <c r="C56"/>
      <c r="D56"/>
      <c r="AE56" s="293" t="s">
        <v>437</v>
      </c>
      <c r="AF56" s="291">
        <v>681918000</v>
      </c>
      <c r="AN56"/>
      <c r="AO56"/>
      <c r="AP56"/>
    </row>
    <row r="57" spans="2:42" x14ac:dyDescent="0.25">
      <c r="B57"/>
      <c r="C57"/>
      <c r="D57"/>
      <c r="AE57" s="293" t="s">
        <v>438</v>
      </c>
      <c r="AF57" s="291">
        <v>268380000</v>
      </c>
      <c r="AN57"/>
      <c r="AO57"/>
      <c r="AP57"/>
    </row>
    <row r="58" spans="2:42" x14ac:dyDescent="0.25">
      <c r="M58" s="113"/>
      <c r="P58" s="113"/>
      <c r="AE58" s="293" t="s">
        <v>506</v>
      </c>
      <c r="AF58" s="291">
        <v>14000000</v>
      </c>
      <c r="AN58"/>
      <c r="AO58"/>
      <c r="AP58"/>
    </row>
    <row r="59" spans="2:42" x14ac:dyDescent="0.25">
      <c r="M59" s="87"/>
      <c r="P59" s="159"/>
      <c r="AE59" s="290" t="s">
        <v>137</v>
      </c>
      <c r="AF59" s="291">
        <v>666310144.94685376</v>
      </c>
    </row>
    <row r="60" spans="2:42" x14ac:dyDescent="0.25">
      <c r="M60" s="87"/>
      <c r="P60" s="159"/>
      <c r="AE60" s="293" t="s">
        <v>260</v>
      </c>
      <c r="AF60" s="291">
        <v>18824400</v>
      </c>
    </row>
    <row r="61" spans="2:42" x14ac:dyDescent="0.25">
      <c r="M61" s="87"/>
      <c r="AE61" s="293" t="s">
        <v>139</v>
      </c>
      <c r="AF61" s="291">
        <v>149656650</v>
      </c>
    </row>
    <row r="62" spans="2:42" x14ac:dyDescent="0.25">
      <c r="M62" s="87"/>
      <c r="AE62" s="293" t="s">
        <v>75</v>
      </c>
      <c r="AF62" s="291">
        <v>244828694.94685373</v>
      </c>
    </row>
    <row r="63" spans="2:42" x14ac:dyDescent="0.25">
      <c r="M63" s="163"/>
      <c r="P63" s="87"/>
      <c r="AE63" s="293" t="s">
        <v>138</v>
      </c>
      <c r="AF63" s="291">
        <v>70092000</v>
      </c>
    </row>
    <row r="64" spans="2:42" x14ac:dyDescent="0.25">
      <c r="M64" s="87"/>
      <c r="P64" s="87"/>
      <c r="AE64" s="293" t="s">
        <v>437</v>
      </c>
      <c r="AF64" s="291">
        <v>129232400</v>
      </c>
    </row>
    <row r="65" spans="12:32" x14ac:dyDescent="0.25">
      <c r="P65" s="87"/>
      <c r="AE65" s="293" t="s">
        <v>438</v>
      </c>
      <c r="AF65" s="291">
        <v>53676000</v>
      </c>
    </row>
    <row r="66" spans="12:32" x14ac:dyDescent="0.25">
      <c r="AE66" s="290" t="s">
        <v>280</v>
      </c>
      <c r="AF66" s="291">
        <v>405463080.5</v>
      </c>
    </row>
    <row r="67" spans="12:32" x14ac:dyDescent="0.25">
      <c r="AE67" s="293" t="s">
        <v>260</v>
      </c>
      <c r="AF67" s="291">
        <v>15674400</v>
      </c>
    </row>
    <row r="68" spans="12:32" x14ac:dyDescent="0.25">
      <c r="L68" s="257"/>
      <c r="AE68" s="293" t="s">
        <v>139</v>
      </c>
      <c r="AF68" s="291">
        <v>175098280.5</v>
      </c>
    </row>
    <row r="69" spans="12:32" x14ac:dyDescent="0.25">
      <c r="L69" s="257"/>
      <c r="M69" s="87"/>
      <c r="N69" s="87"/>
      <c r="AE69" s="293" t="s">
        <v>138</v>
      </c>
      <c r="AF69" s="291">
        <v>70092000</v>
      </c>
    </row>
    <row r="70" spans="12:32" x14ac:dyDescent="0.25">
      <c r="L70" s="257"/>
      <c r="M70" s="87"/>
      <c r="N70" s="87"/>
      <c r="AE70" s="293" t="s">
        <v>437</v>
      </c>
      <c r="AF70" s="291">
        <v>90922400</v>
      </c>
    </row>
    <row r="71" spans="12:32" x14ac:dyDescent="0.25">
      <c r="M71" s="87"/>
      <c r="N71" s="87"/>
      <c r="AE71" s="293" t="s">
        <v>438</v>
      </c>
      <c r="AF71" s="291">
        <v>53676000</v>
      </c>
    </row>
    <row r="72" spans="12:32" x14ac:dyDescent="0.25">
      <c r="M72" s="87"/>
      <c r="N72" s="87"/>
      <c r="AE72" s="290" t="s">
        <v>271</v>
      </c>
      <c r="AF72" s="291">
        <v>41460000</v>
      </c>
    </row>
    <row r="73" spans="12:32" x14ac:dyDescent="0.25">
      <c r="M73" s="113"/>
      <c r="N73" s="113"/>
      <c r="O73" s="113"/>
      <c r="P73" s="113"/>
      <c r="AE73" s="293" t="s">
        <v>260</v>
      </c>
      <c r="AF73" s="291">
        <v>3150000</v>
      </c>
    </row>
    <row r="74" spans="12:32" x14ac:dyDescent="0.25">
      <c r="M74" s="164"/>
      <c r="N74" s="164"/>
      <c r="O74" s="164"/>
      <c r="AE74" s="293" t="s">
        <v>75</v>
      </c>
      <c r="AF74" s="291">
        <v>0</v>
      </c>
    </row>
    <row r="75" spans="12:32" x14ac:dyDescent="0.25">
      <c r="M75" s="155"/>
      <c r="AE75" s="293" t="s">
        <v>437</v>
      </c>
      <c r="AF75" s="291">
        <v>38310000</v>
      </c>
    </row>
    <row r="76" spans="12:32" x14ac:dyDescent="0.25">
      <c r="AE76" s="290" t="s">
        <v>265</v>
      </c>
      <c r="AF76" s="291"/>
    </row>
    <row r="77" spans="12:32" x14ac:dyDescent="0.25">
      <c r="AE77" s="293" t="s">
        <v>265</v>
      </c>
      <c r="AF77" s="291"/>
    </row>
    <row r="78" spans="12:32" x14ac:dyDescent="0.25">
      <c r="N78" s="115"/>
      <c r="O78" s="115"/>
      <c r="P78" s="115"/>
      <c r="Q78" s="115"/>
      <c r="R78" s="115"/>
      <c r="AE78" s="290" t="s">
        <v>434</v>
      </c>
      <c r="AF78" s="291">
        <v>0</v>
      </c>
    </row>
    <row r="79" spans="12:32" x14ac:dyDescent="0.25">
      <c r="M79" s="115"/>
      <c r="N79" s="163"/>
      <c r="O79" s="163"/>
      <c r="P79" s="163"/>
      <c r="Q79" s="163"/>
      <c r="R79" s="159"/>
      <c r="AE79" s="293" t="s">
        <v>139</v>
      </c>
      <c r="AF79" s="291">
        <v>0</v>
      </c>
    </row>
    <row r="80" spans="12:32" x14ac:dyDescent="0.25">
      <c r="M80" s="115"/>
      <c r="N80" s="87"/>
      <c r="O80" s="87"/>
      <c r="P80" s="87"/>
      <c r="Q80" s="87"/>
      <c r="R80" s="159"/>
      <c r="AE80" s="293" t="s">
        <v>75</v>
      </c>
      <c r="AF80" s="291">
        <v>0</v>
      </c>
    </row>
    <row r="81" spans="13:32" x14ac:dyDescent="0.25">
      <c r="M81" s="115"/>
      <c r="N81" s="270"/>
      <c r="O81" s="270"/>
      <c r="P81" s="270"/>
      <c r="Q81" s="270"/>
      <c r="R81" s="111"/>
      <c r="AE81" s="293" t="s">
        <v>437</v>
      </c>
      <c r="AF81" s="291">
        <v>0</v>
      </c>
    </row>
    <row r="82" spans="13:32" x14ac:dyDescent="0.25">
      <c r="AE82" s="290" t="s">
        <v>64</v>
      </c>
      <c r="AF82" s="291">
        <v>7077550104.4268703</v>
      </c>
    </row>
    <row r="83" spans="13:32" x14ac:dyDescent="0.25">
      <c r="AE83"/>
      <c r="AF83"/>
    </row>
    <row r="84" spans="13:32" x14ac:dyDescent="0.25">
      <c r="AE84"/>
      <c r="AF84"/>
    </row>
    <row r="85" spans="13:32" x14ac:dyDescent="0.25">
      <c r="AE85"/>
      <c r="AF85"/>
    </row>
    <row r="86" spans="13:32" x14ac:dyDescent="0.25">
      <c r="AE86"/>
      <c r="AF86"/>
    </row>
  </sheetData>
  <pageMargins left="0.7" right="0.7" top="0.75" bottom="0.75" header="0.3" footer="0.3"/>
  <pageSetup paperSize="9" orientation="portrait" horizontalDpi="0" verticalDpi="0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M61"/>
  <sheetViews>
    <sheetView topLeftCell="T1" workbookViewId="0">
      <selection activeCell="T6" sqref="T6"/>
    </sheetView>
  </sheetViews>
  <sheetFormatPr defaultColWidth="8.85546875" defaultRowHeight="15" outlineLevelCol="1" x14ac:dyDescent="0.25"/>
  <cols>
    <col min="1" max="1" width="8.140625" hidden="1" customWidth="1" outlineLevel="1"/>
    <col min="2" max="2" width="13.85546875" hidden="1" customWidth="1" outlineLevel="1"/>
    <col min="3" max="3" width="18.28515625" hidden="1" customWidth="1" outlineLevel="1"/>
    <col min="4" max="4" width="27.28515625" hidden="1" customWidth="1" outlineLevel="1"/>
    <col min="5" max="5" width="16.140625" hidden="1" customWidth="1" outlineLevel="1"/>
    <col min="6" max="6" width="9.140625" hidden="1" customWidth="1" outlineLevel="1"/>
    <col min="7" max="7" width="14.28515625" hidden="1" customWidth="1" outlineLevel="1"/>
    <col min="8" max="8" width="9.140625" hidden="1" customWidth="1" outlineLevel="1"/>
    <col min="9" max="9" width="13.7109375" hidden="1" customWidth="1" outlineLevel="1"/>
    <col min="10" max="10" width="40" hidden="1" customWidth="1" outlineLevel="1"/>
    <col min="11" max="11" width="15.140625" hidden="1" customWidth="1" outlineLevel="1"/>
    <col min="12" max="12" width="13.85546875" hidden="1" customWidth="1" outlineLevel="1"/>
    <col min="13" max="13" width="15.28515625" hidden="1" customWidth="1" outlineLevel="1"/>
    <col min="14" max="14" width="9.140625" hidden="1" customWidth="1" outlineLevel="1"/>
    <col min="15" max="15" width="59.42578125" hidden="1" customWidth="1" outlineLevel="1"/>
    <col min="16" max="17" width="15.28515625" hidden="1" customWidth="1" outlineLevel="1"/>
    <col min="18" max="18" width="14.28515625" hidden="1" customWidth="1" outlineLevel="1"/>
    <col min="19" max="19" width="13.7109375" hidden="1" customWidth="1" outlineLevel="1"/>
    <col min="20" max="20" width="13.7109375" style="215" bestFit="1" customWidth="1" collapsed="1"/>
    <col min="22" max="22" width="50.5703125" bestFit="1" customWidth="1"/>
    <col min="23" max="23" width="14.7109375" customWidth="1"/>
    <col min="26" max="26" width="46.85546875" bestFit="1" customWidth="1"/>
    <col min="27" max="27" width="16.140625" bestFit="1" customWidth="1"/>
    <col min="30" max="30" width="37" bestFit="1" customWidth="1"/>
    <col min="31" max="31" width="17.42578125" bestFit="1" customWidth="1"/>
    <col min="32" max="32" width="17.42578125" customWidth="1"/>
    <col min="35" max="35" width="15.28515625" bestFit="1" customWidth="1"/>
    <col min="36" max="37" width="15.7109375" bestFit="1" customWidth="1"/>
    <col min="38" max="39" width="15.28515625" bestFit="1" customWidth="1"/>
  </cols>
  <sheetData>
    <row r="2" spans="1:39" x14ac:dyDescent="0.25">
      <c r="A2" s="196" t="s">
        <v>338</v>
      </c>
      <c r="B2" s="196"/>
      <c r="C2" s="196"/>
      <c r="D2" s="196"/>
      <c r="E2" s="196"/>
      <c r="I2" t="s">
        <v>352</v>
      </c>
      <c r="V2" s="196" t="s">
        <v>402</v>
      </c>
      <c r="W2" s="196"/>
      <c r="Z2" s="196" t="s">
        <v>403</v>
      </c>
      <c r="AA2" s="196"/>
      <c r="AD2" s="196" t="s">
        <v>406</v>
      </c>
      <c r="AE2" s="196"/>
      <c r="AF2" s="196"/>
      <c r="AI2" s="196" t="s">
        <v>63</v>
      </c>
      <c r="AJ2" s="196"/>
      <c r="AK2" s="196"/>
      <c r="AL2" s="196"/>
    </row>
    <row r="3" spans="1:39" x14ac:dyDescent="0.25">
      <c r="I3" t="s">
        <v>354</v>
      </c>
    </row>
    <row r="4" spans="1:39" x14ac:dyDescent="0.25">
      <c r="A4" s="133" t="s">
        <v>339</v>
      </c>
      <c r="B4" s="133" t="s">
        <v>340</v>
      </c>
      <c r="C4" s="133" t="s">
        <v>344</v>
      </c>
      <c r="D4" s="133" t="s">
        <v>3</v>
      </c>
      <c r="E4" s="133" t="s">
        <v>311</v>
      </c>
      <c r="I4" t="s">
        <v>355</v>
      </c>
      <c r="V4" s="133" t="s">
        <v>2</v>
      </c>
      <c r="W4" s="133" t="s">
        <v>401</v>
      </c>
      <c r="Z4" s="133" t="s">
        <v>2</v>
      </c>
      <c r="AA4" s="133" t="s">
        <v>43</v>
      </c>
      <c r="AD4" s="133" t="s">
        <v>2</v>
      </c>
      <c r="AE4" s="133" t="s">
        <v>43</v>
      </c>
      <c r="AF4" s="133" t="s">
        <v>452</v>
      </c>
      <c r="AJ4" s="133" t="s">
        <v>297</v>
      </c>
      <c r="AK4" s="133" t="s">
        <v>412</v>
      </c>
      <c r="AL4" s="133" t="s">
        <v>158</v>
      </c>
    </row>
    <row r="5" spans="1:39" x14ac:dyDescent="0.25">
      <c r="A5">
        <v>1</v>
      </c>
      <c r="B5" s="194" t="s">
        <v>343</v>
      </c>
      <c r="C5" t="s">
        <v>342</v>
      </c>
      <c r="D5" t="s">
        <v>346</v>
      </c>
      <c r="E5" s="79">
        <v>1700000</v>
      </c>
      <c r="V5" s="132" t="s">
        <v>297</v>
      </c>
      <c r="W5" s="79">
        <v>541946013.21557736</v>
      </c>
      <c r="Z5" s="217" t="s">
        <v>158</v>
      </c>
      <c r="AA5" s="218">
        <f>SUM(AA6:AA38)</f>
        <v>359020835.73622328</v>
      </c>
      <c r="AD5" s="217" t="s">
        <v>158</v>
      </c>
      <c r="AE5" s="218">
        <f>SUM(AE6:AE38)</f>
        <v>606680262.41839743</v>
      </c>
      <c r="AF5" s="218"/>
      <c r="AI5" s="199" t="s">
        <v>61</v>
      </c>
      <c r="AJ5" s="214">
        <f>AA5</f>
        <v>359020835.73622328</v>
      </c>
      <c r="AK5" s="214">
        <f>AE5</f>
        <v>606680262.41839743</v>
      </c>
      <c r="AL5" s="199">
        <f>AJ5+AK5</f>
        <v>965701098.15462065</v>
      </c>
    </row>
    <row r="6" spans="1:39" x14ac:dyDescent="0.25">
      <c r="A6">
        <v>2</v>
      </c>
      <c r="B6" s="194" t="s">
        <v>341</v>
      </c>
      <c r="C6" t="s">
        <v>342</v>
      </c>
      <c r="D6" t="s">
        <v>345</v>
      </c>
      <c r="E6" s="79">
        <v>31</v>
      </c>
      <c r="V6" s="197" t="s">
        <v>140</v>
      </c>
      <c r="W6" s="79">
        <v>31500000</v>
      </c>
      <c r="Z6" t="str">
        <f t="shared" ref="Z6:Z13" si="0">V6</f>
        <v>Aurus Alpha Deposit</v>
      </c>
      <c r="AA6" s="79">
        <f t="shared" ref="AA6:AA12" si="1">W6</f>
        <v>31500000</v>
      </c>
      <c r="AD6" t="str">
        <f t="shared" ref="AD6" si="2">V15</f>
        <v>Affluence</v>
      </c>
      <c r="AE6" s="79">
        <f t="shared" ref="AE6" si="3">W15</f>
        <v>5591229.75</v>
      </c>
      <c r="AF6" s="79" t="s">
        <v>450</v>
      </c>
      <c r="AI6" t="s">
        <v>62</v>
      </c>
      <c r="AJ6" s="206">
        <v>35300000</v>
      </c>
      <c r="AK6" s="79">
        <f>'Networth Inputs - old'!M4+'Networth Inputs - old'!M5+'Networth Inputs - old'!M6-'Capital Account'!AJ6+'Networth Inputs - old'!M7</f>
        <v>32200000</v>
      </c>
      <c r="AL6" s="199">
        <f t="shared" ref="AL6:AL7" si="4">AJ6+AK6</f>
        <v>67500000</v>
      </c>
    </row>
    <row r="7" spans="1:39" ht="15.75" thickBot="1" x14ac:dyDescent="0.3">
      <c r="A7">
        <v>2</v>
      </c>
      <c r="B7" s="194" t="s">
        <v>341</v>
      </c>
      <c r="C7" t="s">
        <v>347</v>
      </c>
      <c r="D7" t="s">
        <v>351</v>
      </c>
      <c r="E7" s="79">
        <v>-9594.1988000000001</v>
      </c>
      <c r="J7" s="134" t="s">
        <v>147</v>
      </c>
      <c r="K7" t="s">
        <v>363</v>
      </c>
      <c r="V7" s="197" t="s">
        <v>53</v>
      </c>
      <c r="W7" s="79">
        <v>4287189</v>
      </c>
      <c r="Z7" t="str">
        <f t="shared" si="0"/>
        <v>HDFC Bank Mishayan</v>
      </c>
      <c r="AA7" s="79">
        <f t="shared" si="1"/>
        <v>4287189</v>
      </c>
      <c r="AD7" t="str">
        <f t="shared" ref="AD7:AE27" si="5">V16</f>
        <v>Affluence High Risk</v>
      </c>
      <c r="AE7" s="79">
        <f t="shared" si="5"/>
        <v>5128618.47</v>
      </c>
      <c r="AF7" s="79" t="s">
        <v>450</v>
      </c>
      <c r="AI7" s="247" t="s">
        <v>63</v>
      </c>
      <c r="AJ7" s="248">
        <f>AJ5-AJ6</f>
        <v>323720835.73622328</v>
      </c>
      <c r="AK7" s="248">
        <f>AK5-AK6</f>
        <v>574480262.41839743</v>
      </c>
      <c r="AL7" s="248">
        <f t="shared" si="4"/>
        <v>898201098.15462065</v>
      </c>
      <c r="AM7" s="199"/>
    </row>
    <row r="8" spans="1:39" ht="15.75" thickTop="1" x14ac:dyDescent="0.25">
      <c r="A8">
        <v>2</v>
      </c>
      <c r="B8" s="194" t="s">
        <v>341</v>
      </c>
      <c r="C8" t="s">
        <v>342</v>
      </c>
      <c r="D8" t="s">
        <v>348</v>
      </c>
      <c r="E8" s="79">
        <v>-48533.882400000002</v>
      </c>
      <c r="J8" s="132" t="s">
        <v>343</v>
      </c>
      <c r="K8" s="79">
        <v>1192790</v>
      </c>
      <c r="V8" s="197" t="s">
        <v>74</v>
      </c>
      <c r="W8" s="79">
        <v>185288687.27000001</v>
      </c>
      <c r="Z8" t="str">
        <f t="shared" si="0"/>
        <v>Zerodha Broking Mishayan: Cash</v>
      </c>
      <c r="AA8" s="79">
        <f t="shared" si="1"/>
        <v>185288687.27000001</v>
      </c>
      <c r="AD8" t="str">
        <f t="shared" si="5"/>
        <v>FD</v>
      </c>
      <c r="AE8" s="79">
        <f t="shared" si="5"/>
        <v>23500000</v>
      </c>
      <c r="AF8" s="79" t="s">
        <v>450</v>
      </c>
    </row>
    <row r="9" spans="1:39" x14ac:dyDescent="0.25">
      <c r="A9">
        <v>2</v>
      </c>
      <c r="B9" s="194" t="s">
        <v>341</v>
      </c>
      <c r="C9" t="s">
        <v>342</v>
      </c>
      <c r="D9" t="s">
        <v>349</v>
      </c>
      <c r="E9" s="79">
        <v>17841190.75</v>
      </c>
      <c r="J9" s="197" t="s">
        <v>347</v>
      </c>
      <c r="K9" s="79">
        <v>-63743</v>
      </c>
      <c r="V9" s="197" t="s">
        <v>72</v>
      </c>
      <c r="W9" s="79">
        <v>156238618.09675092</v>
      </c>
      <c r="Z9" t="str">
        <f t="shared" si="0"/>
        <v>Zerodha Broking Mishayan: Debt Mutual Fund</v>
      </c>
      <c r="AA9" s="79">
        <f t="shared" si="1"/>
        <v>156238618.09675092</v>
      </c>
      <c r="AD9" t="str">
        <f t="shared" si="5"/>
        <v>HDFC Bank RN</v>
      </c>
      <c r="AE9" s="79">
        <f t="shared" si="5"/>
        <v>1550293</v>
      </c>
      <c r="AF9" s="79"/>
    </row>
    <row r="10" spans="1:39" x14ac:dyDescent="0.25">
      <c r="A10">
        <v>2</v>
      </c>
      <c r="B10" s="194" t="s">
        <v>341</v>
      </c>
      <c r="C10" t="s">
        <v>347</v>
      </c>
      <c r="D10" t="s">
        <v>350</v>
      </c>
      <c r="E10" s="79">
        <v>-1252925.9369999999</v>
      </c>
      <c r="J10" s="198" t="s">
        <v>361</v>
      </c>
      <c r="K10" s="79">
        <v>-63743</v>
      </c>
      <c r="V10" s="197" t="s">
        <v>70</v>
      </c>
      <c r="W10" s="79">
        <v>4298337.5</v>
      </c>
      <c r="Z10" t="str">
        <f t="shared" si="0"/>
        <v>Zerodha Broking Mishayan: EQ Holdings</v>
      </c>
      <c r="AA10" s="79">
        <f t="shared" si="1"/>
        <v>4298337.5</v>
      </c>
      <c r="AD10" t="str">
        <f t="shared" si="5"/>
        <v>ICICI Bank OD</v>
      </c>
      <c r="AE10" s="79">
        <f t="shared" si="5"/>
        <v>48398458</v>
      </c>
      <c r="AF10" s="79"/>
    </row>
    <row r="11" spans="1:39" x14ac:dyDescent="0.25">
      <c r="A11">
        <v>2</v>
      </c>
      <c r="B11" s="194" t="s">
        <v>341</v>
      </c>
      <c r="C11" t="s">
        <v>342</v>
      </c>
      <c r="D11" t="s">
        <v>353</v>
      </c>
      <c r="E11" s="79">
        <v>-15847722.126</v>
      </c>
      <c r="J11" s="197" t="s">
        <v>342</v>
      </c>
      <c r="K11" s="79">
        <v>1700000</v>
      </c>
      <c r="V11" s="197" t="s">
        <v>71</v>
      </c>
      <c r="W11" s="79">
        <v>139245352.0488264</v>
      </c>
      <c r="Z11" t="str">
        <f t="shared" si="0"/>
        <v>Zerodha Broking Mishayan: EQ Mutual Fund</v>
      </c>
      <c r="AA11" s="79">
        <f t="shared" si="1"/>
        <v>139245352.0488264</v>
      </c>
      <c r="AD11" t="str">
        <f t="shared" si="5"/>
        <v>Interest Hand</v>
      </c>
      <c r="AE11" s="79">
        <f t="shared" si="5"/>
        <v>0</v>
      </c>
      <c r="AF11" s="79" t="s">
        <v>450</v>
      </c>
      <c r="AI11" s="196" t="s">
        <v>61</v>
      </c>
      <c r="AJ11" s="196"/>
      <c r="AK11" s="196"/>
      <c r="AL11" s="196"/>
    </row>
    <row r="12" spans="1:39" x14ac:dyDescent="0.25">
      <c r="A12">
        <v>2</v>
      </c>
      <c r="B12" s="194" t="s">
        <v>341</v>
      </c>
      <c r="C12" t="s">
        <v>342</v>
      </c>
      <c r="D12" t="s">
        <v>356</v>
      </c>
      <c r="E12" s="79">
        <f>0</f>
        <v>0</v>
      </c>
      <c r="J12" s="198" t="s">
        <v>346</v>
      </c>
      <c r="K12" s="79">
        <v>1700000</v>
      </c>
      <c r="V12" s="197" t="s">
        <v>73</v>
      </c>
      <c r="W12" s="79">
        <v>20087829.300000001</v>
      </c>
      <c r="Z12" t="str">
        <f t="shared" si="0"/>
        <v>Zerodha Broking Mishayan: Liquidbees/ Liquidcase</v>
      </c>
      <c r="AA12" s="79">
        <f t="shared" si="1"/>
        <v>20087829.300000001</v>
      </c>
      <c r="AD12" t="str">
        <f t="shared" si="5"/>
        <v>Loan to Vihaan</v>
      </c>
      <c r="AE12" s="79">
        <f t="shared" si="5"/>
        <v>3000000</v>
      </c>
      <c r="AF12" s="79" t="s">
        <v>451</v>
      </c>
    </row>
    <row r="13" spans="1:39" x14ac:dyDescent="0.25">
      <c r="A13">
        <v>2</v>
      </c>
      <c r="B13" s="194" t="s">
        <v>341</v>
      </c>
      <c r="C13" t="s">
        <v>342</v>
      </c>
      <c r="D13" t="s">
        <v>357</v>
      </c>
      <c r="E13" s="79">
        <v>0</v>
      </c>
      <c r="J13" s="197" t="s">
        <v>364</v>
      </c>
      <c r="K13" s="79">
        <v>-443467</v>
      </c>
      <c r="V13" s="197" t="s">
        <v>439</v>
      </c>
      <c r="W13" s="79">
        <v>1000000</v>
      </c>
      <c r="Z13" t="str">
        <f t="shared" si="0"/>
        <v>HDFC Bank FD</v>
      </c>
      <c r="AA13" s="79">
        <f>W13</f>
        <v>1000000</v>
      </c>
      <c r="AD13" t="str">
        <f t="shared" si="5"/>
        <v>PMS QFH Strategy</v>
      </c>
      <c r="AE13" s="79">
        <f t="shared" si="5"/>
        <v>6092676</v>
      </c>
      <c r="AF13" s="79" t="s">
        <v>451</v>
      </c>
      <c r="AJ13" s="133" t="s">
        <v>297</v>
      </c>
      <c r="AK13" s="133" t="s">
        <v>412</v>
      </c>
      <c r="AL13" s="133" t="s">
        <v>158</v>
      </c>
    </row>
    <row r="14" spans="1:39" x14ac:dyDescent="0.25">
      <c r="A14">
        <v>3</v>
      </c>
      <c r="B14" s="194" t="s">
        <v>362</v>
      </c>
      <c r="C14" t="s">
        <v>347</v>
      </c>
      <c r="D14" t="s">
        <v>351</v>
      </c>
      <c r="E14" s="205">
        <v>-13550.635</v>
      </c>
      <c r="F14" s="210"/>
      <c r="J14" s="198" t="s">
        <v>364</v>
      </c>
      <c r="K14" s="79">
        <v>-443467</v>
      </c>
      <c r="V14" s="132" t="s">
        <v>5</v>
      </c>
      <c r="W14" s="79">
        <v>423755084.93904328</v>
      </c>
      <c r="AA14" s="79"/>
      <c r="AD14" t="str">
        <f t="shared" si="5"/>
        <v>Sushila Nahar Equity MF</v>
      </c>
      <c r="AE14" s="79">
        <f t="shared" si="5"/>
        <v>15368350</v>
      </c>
      <c r="AF14" s="79"/>
      <c r="AI14" t="s">
        <v>451</v>
      </c>
      <c r="AJ14" s="214">
        <f>AJ5</f>
        <v>359020835.73622328</v>
      </c>
      <c r="AK14" s="79">
        <f>SUMIFS($AE$7:$AE$110,$AF$7:$AF$110,AI14)</f>
        <v>468702310.6773814</v>
      </c>
      <c r="AL14" s="199">
        <f>AJ14+AK14</f>
        <v>827723146.41360474</v>
      </c>
    </row>
    <row r="15" spans="1:39" x14ac:dyDescent="0.25">
      <c r="A15">
        <v>3</v>
      </c>
      <c r="B15" s="194" t="s">
        <v>362</v>
      </c>
      <c r="C15" t="s">
        <v>342</v>
      </c>
      <c r="D15" t="s">
        <v>349</v>
      </c>
      <c r="E15" s="205">
        <v>93867317.450000003</v>
      </c>
      <c r="F15" s="210"/>
      <c r="J15" s="132" t="s">
        <v>341</v>
      </c>
      <c r="K15" s="79">
        <v>8905814.3857999984</v>
      </c>
      <c r="M15" s="79"/>
      <c r="V15" s="197" t="s">
        <v>259</v>
      </c>
      <c r="W15" s="79">
        <v>5591229.75</v>
      </c>
      <c r="AD15" t="str">
        <f t="shared" si="5"/>
        <v>Swan Capital</v>
      </c>
      <c r="AE15" s="79">
        <f t="shared" si="5"/>
        <v>5881036</v>
      </c>
      <c r="AF15" s="79" t="s">
        <v>451</v>
      </c>
      <c r="AI15" t="s">
        <v>450</v>
      </c>
      <c r="AK15" s="79">
        <f>SUMIFS($AE$7:$AE$110,$AF$7:$AF$110,AI15)</f>
        <v>67069620.991016001</v>
      </c>
      <c r="AL15" s="199">
        <f>AJ15+AK15</f>
        <v>67069620.991016001</v>
      </c>
    </row>
    <row r="16" spans="1:39" x14ac:dyDescent="0.25">
      <c r="A16">
        <v>3</v>
      </c>
      <c r="B16" s="194" t="s">
        <v>362</v>
      </c>
      <c r="C16" t="s">
        <v>347</v>
      </c>
      <c r="D16" t="s">
        <v>350</v>
      </c>
      <c r="E16" s="205">
        <v>-4109562.7888000002</v>
      </c>
      <c r="F16" s="210"/>
      <c r="J16" s="197" t="s">
        <v>347</v>
      </c>
      <c r="K16" s="79">
        <v>-2175687.1357999998</v>
      </c>
      <c r="V16" s="197" t="s">
        <v>276</v>
      </c>
      <c r="W16" s="79">
        <v>5128618.47</v>
      </c>
      <c r="AD16" t="str">
        <f t="shared" si="5"/>
        <v>YG</v>
      </c>
      <c r="AE16" s="79">
        <f t="shared" si="5"/>
        <v>30312619.799999997</v>
      </c>
      <c r="AF16" s="79" t="s">
        <v>451</v>
      </c>
    </row>
    <row r="17" spans="1:32" x14ac:dyDescent="0.25">
      <c r="A17">
        <v>3</v>
      </c>
      <c r="B17" s="194" t="s">
        <v>362</v>
      </c>
      <c r="C17" t="s">
        <v>342</v>
      </c>
      <c r="D17" s="195" t="s">
        <v>358</v>
      </c>
      <c r="E17" s="204">
        <v>60547800</v>
      </c>
      <c r="F17" s="210"/>
      <c r="J17" s="198" t="s">
        <v>361</v>
      </c>
      <c r="K17" s="79">
        <v>-144780</v>
      </c>
      <c r="L17" s="199"/>
      <c r="M17" s="199"/>
      <c r="V17" s="197" t="s">
        <v>67</v>
      </c>
      <c r="W17" s="79">
        <v>23500000</v>
      </c>
      <c r="Z17" s="207" t="s">
        <v>404</v>
      </c>
      <c r="AA17" s="206">
        <v>0</v>
      </c>
      <c r="AD17" t="str">
        <f t="shared" si="5"/>
        <v>Yogita Agrawal PMS</v>
      </c>
      <c r="AE17" s="79">
        <f t="shared" si="5"/>
        <v>40685877</v>
      </c>
      <c r="AF17" s="79" t="s">
        <v>451</v>
      </c>
    </row>
    <row r="18" spans="1:32" x14ac:dyDescent="0.25">
      <c r="A18">
        <v>3</v>
      </c>
      <c r="B18" s="194" t="s">
        <v>362</v>
      </c>
      <c r="C18" t="s">
        <v>347</v>
      </c>
      <c r="D18" t="s">
        <v>359</v>
      </c>
      <c r="E18" s="204">
        <v>-195217.62890000001</v>
      </c>
      <c r="F18" s="210"/>
      <c r="G18" s="195"/>
      <c r="J18" s="198" t="s">
        <v>351</v>
      </c>
      <c r="K18" s="79">
        <v>-9594.1988000000001</v>
      </c>
      <c r="V18" s="197" t="s">
        <v>52</v>
      </c>
      <c r="W18" s="79">
        <v>1550293</v>
      </c>
      <c r="Z18" s="207" t="s">
        <v>405</v>
      </c>
      <c r="AA18" s="206">
        <f>-('Holdings Summary'!T19-'Holdings Summary'!AB9)</f>
        <v>-182925177.47935408</v>
      </c>
      <c r="AD18" t="str">
        <f t="shared" si="5"/>
        <v>Zerodha Broking RN: Cash</v>
      </c>
      <c r="AE18" s="79">
        <f t="shared" si="5"/>
        <v>14852</v>
      </c>
      <c r="AF18" s="79" t="s">
        <v>451</v>
      </c>
    </row>
    <row r="19" spans="1:32" x14ac:dyDescent="0.25">
      <c r="A19">
        <v>3</v>
      </c>
      <c r="B19" s="194" t="s">
        <v>362</v>
      </c>
      <c r="C19" t="s">
        <v>342</v>
      </c>
      <c r="D19" t="s">
        <v>353</v>
      </c>
      <c r="E19" s="204">
        <v>0</v>
      </c>
      <c r="F19" s="210"/>
      <c r="G19" s="204">
        <v>-40702647.539999999</v>
      </c>
      <c r="I19" s="79"/>
      <c r="J19" s="198" t="s">
        <v>350</v>
      </c>
      <c r="K19" s="79">
        <v>-1252925.9369999999</v>
      </c>
      <c r="V19" s="197" t="s">
        <v>281</v>
      </c>
      <c r="W19" s="79">
        <v>48398458</v>
      </c>
      <c r="AD19" t="str">
        <f t="shared" si="5"/>
        <v>Zerodha Broking RN: Debt Mutual Funds</v>
      </c>
      <c r="AE19" s="79">
        <f t="shared" si="5"/>
        <v>3946196.5210159998</v>
      </c>
      <c r="AF19" s="79" t="s">
        <v>450</v>
      </c>
    </row>
    <row r="20" spans="1:32" x14ac:dyDescent="0.25">
      <c r="A20">
        <v>3</v>
      </c>
      <c r="B20" s="194" t="s">
        <v>362</v>
      </c>
      <c r="C20" t="s">
        <v>342</v>
      </c>
      <c r="D20" t="s">
        <v>356</v>
      </c>
      <c r="E20" s="204">
        <v>15847722.126</v>
      </c>
      <c r="F20" s="210"/>
      <c r="G20" s="199"/>
      <c r="J20" s="198" t="s">
        <v>365</v>
      </c>
      <c r="K20" s="79">
        <v>-706750</v>
      </c>
      <c r="V20" s="197" t="s">
        <v>55</v>
      </c>
      <c r="W20" s="79">
        <v>0</v>
      </c>
      <c r="AD20" t="str">
        <f t="shared" si="5"/>
        <v>Zerodha Broking RN: EQ Holdings</v>
      </c>
      <c r="AE20" s="79">
        <f t="shared" si="5"/>
        <v>107448061.39802733</v>
      </c>
      <c r="AF20" s="79" t="s">
        <v>451</v>
      </c>
    </row>
    <row r="21" spans="1:32" x14ac:dyDescent="0.25">
      <c r="A21">
        <v>2</v>
      </c>
      <c r="B21" s="194" t="s">
        <v>341</v>
      </c>
      <c r="C21" t="s">
        <v>342</v>
      </c>
      <c r="D21" t="s">
        <v>346</v>
      </c>
      <c r="E21" s="79">
        <v>12257627</v>
      </c>
      <c r="J21" s="198" t="s">
        <v>366</v>
      </c>
      <c r="K21" s="79">
        <v>-61637</v>
      </c>
      <c r="V21" s="197" t="s">
        <v>47</v>
      </c>
      <c r="W21" s="79">
        <v>3000000</v>
      </c>
      <c r="AD21" t="str">
        <f t="shared" si="5"/>
        <v>Zerodha Broking RN: EQ Mutual Funds</v>
      </c>
      <c r="AE21" s="79">
        <f t="shared" si="5"/>
        <v>0</v>
      </c>
      <c r="AF21" s="79" t="s">
        <v>451</v>
      </c>
    </row>
    <row r="22" spans="1:32" x14ac:dyDescent="0.25">
      <c r="A22">
        <v>2</v>
      </c>
      <c r="B22" s="194" t="s">
        <v>341</v>
      </c>
      <c r="C22" t="s">
        <v>342</v>
      </c>
      <c r="D22" t="s">
        <v>360</v>
      </c>
      <c r="E22" s="79">
        <v>5221.78</v>
      </c>
      <c r="J22" s="197" t="s">
        <v>342</v>
      </c>
      <c r="K22" s="79">
        <v>14207814.521599999</v>
      </c>
      <c r="V22" s="197" t="s">
        <v>51</v>
      </c>
      <c r="W22" s="79">
        <v>6092676</v>
      </c>
      <c r="AD22" t="str">
        <f t="shared" si="5"/>
        <v>Aurus Alpha Profit</v>
      </c>
      <c r="AE22" s="79">
        <f t="shared" si="5"/>
        <v>42915812</v>
      </c>
      <c r="AF22" s="79" t="s">
        <v>451</v>
      </c>
    </row>
    <row r="23" spans="1:32" x14ac:dyDescent="0.25">
      <c r="A23">
        <v>1</v>
      </c>
      <c r="B23" s="194" t="s">
        <v>343</v>
      </c>
      <c r="C23" t="s">
        <v>347</v>
      </c>
      <c r="D23" t="s">
        <v>361</v>
      </c>
      <c r="E23" s="79">
        <v>-63743</v>
      </c>
      <c r="J23" s="198" t="s">
        <v>346</v>
      </c>
      <c r="K23" s="79">
        <v>12257627</v>
      </c>
      <c r="V23" s="197" t="s">
        <v>44</v>
      </c>
      <c r="W23" s="79">
        <v>15368350</v>
      </c>
      <c r="AD23" t="str">
        <f t="shared" si="5"/>
        <v>Marwadi Deposit</v>
      </c>
      <c r="AE23" s="79">
        <f t="shared" si="5"/>
        <v>10200000</v>
      </c>
      <c r="AF23" s="79" t="s">
        <v>451</v>
      </c>
    </row>
    <row r="24" spans="1:32" x14ac:dyDescent="0.25">
      <c r="A24">
        <v>2</v>
      </c>
      <c r="B24" s="194" t="s">
        <v>341</v>
      </c>
      <c r="C24" t="s">
        <v>347</v>
      </c>
      <c r="D24" t="s">
        <v>361</v>
      </c>
      <c r="E24" s="79">
        <v>-144780</v>
      </c>
      <c r="J24" s="198" t="s">
        <v>345</v>
      </c>
      <c r="K24" s="79">
        <v>31</v>
      </c>
      <c r="V24" s="197" t="s">
        <v>77</v>
      </c>
      <c r="W24" s="79">
        <v>5881036</v>
      </c>
      <c r="AD24" t="str">
        <f t="shared" si="5"/>
        <v>Marwadi Profits</v>
      </c>
      <c r="AE24" s="79">
        <f t="shared" si="5"/>
        <v>39226199</v>
      </c>
      <c r="AF24" s="79" t="s">
        <v>451</v>
      </c>
    </row>
    <row r="25" spans="1:32" x14ac:dyDescent="0.25">
      <c r="A25">
        <v>3</v>
      </c>
      <c r="B25" s="194" t="s">
        <v>362</v>
      </c>
      <c r="C25" t="s">
        <v>347</v>
      </c>
      <c r="D25" t="s">
        <v>361</v>
      </c>
      <c r="E25" s="79">
        <v>-5782</v>
      </c>
      <c r="J25" s="198" t="s">
        <v>357</v>
      </c>
      <c r="K25" s="79">
        <v>0</v>
      </c>
      <c r="V25" s="197" t="s">
        <v>54</v>
      </c>
      <c r="W25" s="79">
        <v>30312619.799999997</v>
      </c>
      <c r="AD25" t="str">
        <f t="shared" si="5"/>
        <v>Marwadi FPI Deposit (FD)</v>
      </c>
      <c r="AE25" s="79">
        <f t="shared" si="5"/>
        <v>2625000</v>
      </c>
      <c r="AF25" s="79" t="s">
        <v>450</v>
      </c>
    </row>
    <row r="26" spans="1:32" x14ac:dyDescent="0.25">
      <c r="A26">
        <v>1</v>
      </c>
      <c r="B26" s="194" t="s">
        <v>343</v>
      </c>
      <c r="C26" t="s">
        <v>364</v>
      </c>
      <c r="D26" t="s">
        <v>364</v>
      </c>
      <c r="E26" s="79">
        <v>-443467</v>
      </c>
      <c r="J26" s="198" t="s">
        <v>353</v>
      </c>
      <c r="K26" s="79">
        <v>-15847722.126</v>
      </c>
      <c r="V26" s="197" t="s">
        <v>302</v>
      </c>
      <c r="W26" s="79">
        <v>40685877</v>
      </c>
      <c r="AD26" t="str">
        <f t="shared" si="5"/>
        <v>Marwadi FPI Profits</v>
      </c>
      <c r="AE26" s="79">
        <f t="shared" si="5"/>
        <v>15169806</v>
      </c>
      <c r="AF26" s="79" t="s">
        <v>450</v>
      </c>
    </row>
    <row r="27" spans="1:32" x14ac:dyDescent="0.25">
      <c r="A27">
        <v>2</v>
      </c>
      <c r="B27" s="194" t="s">
        <v>341</v>
      </c>
      <c r="C27" t="s">
        <v>364</v>
      </c>
      <c r="D27" t="s">
        <v>364</v>
      </c>
      <c r="E27" s="79">
        <v>-3126313</v>
      </c>
      <c r="J27" s="198" t="s">
        <v>356</v>
      </c>
      <c r="K27" s="79">
        <v>0</v>
      </c>
      <c r="S27" s="79"/>
      <c r="T27" s="216"/>
      <c r="V27" s="197" t="s">
        <v>69</v>
      </c>
      <c r="W27" s="79">
        <v>14852</v>
      </c>
      <c r="AD27" t="str">
        <f t="shared" si="5"/>
        <v>Nimai FD</v>
      </c>
      <c r="AE27" s="79">
        <f t="shared" si="5"/>
        <v>0</v>
      </c>
      <c r="AF27" s="79" t="s">
        <v>450</v>
      </c>
    </row>
    <row r="28" spans="1:32" x14ac:dyDescent="0.25">
      <c r="A28">
        <v>3</v>
      </c>
      <c r="B28" s="194" t="s">
        <v>362</v>
      </c>
      <c r="C28" t="s">
        <v>364</v>
      </c>
      <c r="D28" t="s">
        <v>364</v>
      </c>
      <c r="E28" s="79">
        <v>0</v>
      </c>
      <c r="J28" s="198" t="s">
        <v>349</v>
      </c>
      <c r="K28" s="79">
        <v>17841190.75</v>
      </c>
      <c r="S28" s="199"/>
      <c r="V28" s="197" t="s">
        <v>270</v>
      </c>
      <c r="W28" s="79">
        <v>3946196.5210159998</v>
      </c>
      <c r="AD28" t="str">
        <f t="shared" ref="AD28:AD31" si="6">V37</f>
        <v>Arvind FD</v>
      </c>
      <c r="AE28" s="79">
        <f t="shared" ref="AE28:AE31" si="7">W37</f>
        <v>700000</v>
      </c>
      <c r="AF28" s="79" t="s">
        <v>450</v>
      </c>
    </row>
    <row r="29" spans="1:32" x14ac:dyDescent="0.25">
      <c r="A29">
        <v>2</v>
      </c>
      <c r="B29" s="194" t="s">
        <v>341</v>
      </c>
      <c r="C29" t="s">
        <v>347</v>
      </c>
      <c r="D29" t="s">
        <v>365</v>
      </c>
      <c r="E29" s="79">
        <v>-706750</v>
      </c>
      <c r="J29" s="198" t="s">
        <v>348</v>
      </c>
      <c r="K29" s="79">
        <v>-48533.882400000002</v>
      </c>
      <c r="Q29" t="s">
        <v>372</v>
      </c>
      <c r="V29" s="197" t="s">
        <v>68</v>
      </c>
      <c r="W29" s="79">
        <v>107448061.39802733</v>
      </c>
      <c r="AD29" t="str">
        <f t="shared" si="6"/>
        <v>Sushila Nahar HDFC</v>
      </c>
      <c r="AE29" s="79">
        <f t="shared" si="7"/>
        <v>0</v>
      </c>
      <c r="AF29" s="79" t="s">
        <v>450</v>
      </c>
    </row>
    <row r="30" spans="1:32" x14ac:dyDescent="0.25">
      <c r="A30">
        <v>2</v>
      </c>
      <c r="B30" s="194" t="s">
        <v>341</v>
      </c>
      <c r="C30" t="s">
        <v>347</v>
      </c>
      <c r="D30" t="s">
        <v>366</v>
      </c>
      <c r="E30" s="79">
        <v>-61637</v>
      </c>
      <c r="J30" s="198" t="s">
        <v>360</v>
      </c>
      <c r="K30" s="79">
        <v>5221.78</v>
      </c>
      <c r="O30" s="73" t="s">
        <v>368</v>
      </c>
      <c r="P30" s="203">
        <f>SUM(P31:P35)</f>
        <v>91154087.799999997</v>
      </c>
      <c r="Q30" s="203">
        <f>SUM(Q31:Q35)</f>
        <v>2550599.2000000002</v>
      </c>
      <c r="V30" s="197" t="s">
        <v>123</v>
      </c>
      <c r="W30" s="79">
        <v>0</v>
      </c>
      <c r="AD30" t="str">
        <f t="shared" si="6"/>
        <v>Sushila Nahar Zerodha</v>
      </c>
      <c r="AE30" s="79">
        <f t="shared" si="7"/>
        <v>13500000</v>
      </c>
      <c r="AF30" s="79" t="s">
        <v>450</v>
      </c>
    </row>
    <row r="31" spans="1:32" x14ac:dyDescent="0.25">
      <c r="A31">
        <v>3</v>
      </c>
      <c r="B31" s="194" t="s">
        <v>362</v>
      </c>
      <c r="C31" t="s">
        <v>347</v>
      </c>
      <c r="D31" t="s">
        <v>365</v>
      </c>
      <c r="E31" s="79">
        <v>-633500</v>
      </c>
      <c r="J31" s="197" t="s">
        <v>364</v>
      </c>
      <c r="K31" s="79">
        <v>-3126313</v>
      </c>
      <c r="O31" s="207" t="s">
        <v>118</v>
      </c>
      <c r="P31" s="206">
        <v>30987326</v>
      </c>
      <c r="Q31" s="79">
        <v>988714</v>
      </c>
      <c r="V31" s="197" t="s">
        <v>431</v>
      </c>
      <c r="W31">
        <v>42915812</v>
      </c>
      <c r="AA31" s="79"/>
      <c r="AD31" t="str">
        <f t="shared" si="6"/>
        <v>Sumesh FD</v>
      </c>
      <c r="AE31" s="79">
        <f t="shared" si="7"/>
        <v>2500000</v>
      </c>
      <c r="AF31" s="79" t="s">
        <v>450</v>
      </c>
    </row>
    <row r="32" spans="1:32" x14ac:dyDescent="0.25">
      <c r="A32">
        <v>3</v>
      </c>
      <c r="B32" s="194" t="s">
        <v>362</v>
      </c>
      <c r="C32" t="s">
        <v>347</v>
      </c>
      <c r="D32" t="s">
        <v>366</v>
      </c>
      <c r="E32" s="79">
        <v>-324443.52000000002</v>
      </c>
      <c r="J32" s="198" t="s">
        <v>364</v>
      </c>
      <c r="K32" s="79">
        <v>-3126313</v>
      </c>
      <c r="O32" s="207" t="s">
        <v>113</v>
      </c>
      <c r="P32" s="206">
        <v>7440385</v>
      </c>
      <c r="Q32" s="79">
        <v>692480</v>
      </c>
      <c r="V32" s="197" t="s">
        <v>435</v>
      </c>
      <c r="W32">
        <v>10200000</v>
      </c>
      <c r="AA32" s="79"/>
      <c r="AE32" s="79"/>
      <c r="AF32" s="79"/>
    </row>
    <row r="33" spans="1:32" x14ac:dyDescent="0.25">
      <c r="A33">
        <v>3</v>
      </c>
      <c r="B33" s="194" t="s">
        <v>362</v>
      </c>
      <c r="C33" t="s">
        <v>342</v>
      </c>
      <c r="D33" t="s">
        <v>346</v>
      </c>
      <c r="E33" s="79">
        <v>10000000</v>
      </c>
      <c r="J33" s="132" t="s">
        <v>362</v>
      </c>
      <c r="K33" s="79">
        <v>200143383.2033</v>
      </c>
      <c r="O33" s="207" t="s">
        <v>369</v>
      </c>
      <c r="P33" s="206">
        <v>4166308</v>
      </c>
      <c r="Q33" s="79">
        <v>418119</v>
      </c>
      <c r="V33" s="197" t="s">
        <v>436</v>
      </c>
      <c r="W33">
        <v>39226199</v>
      </c>
      <c r="AA33" s="79"/>
      <c r="AE33" s="79"/>
      <c r="AF33" s="79"/>
    </row>
    <row r="34" spans="1:32" x14ac:dyDescent="0.25">
      <c r="A34">
        <v>3</v>
      </c>
      <c r="B34" s="194" t="s">
        <v>362</v>
      </c>
      <c r="C34" t="s">
        <v>342</v>
      </c>
      <c r="D34" t="s">
        <v>373</v>
      </c>
      <c r="E34" s="205">
        <f>--2032400.2</f>
        <v>2032400.2</v>
      </c>
      <c r="F34" s="210"/>
      <c r="J34" s="197" t="s">
        <v>347</v>
      </c>
      <c r="K34" s="79">
        <v>-5282056.5726999994</v>
      </c>
      <c r="O34" s="207" t="s">
        <v>262</v>
      </c>
      <c r="P34" s="206">
        <v>40322052</v>
      </c>
      <c r="Q34" s="79">
        <v>324057</v>
      </c>
      <c r="V34" s="197" t="s">
        <v>441</v>
      </c>
      <c r="W34">
        <v>2625000</v>
      </c>
      <c r="AA34" s="79"/>
      <c r="AE34" s="79"/>
      <c r="AF34" s="79"/>
    </row>
    <row r="35" spans="1:32" x14ac:dyDescent="0.25">
      <c r="A35">
        <v>3</v>
      </c>
      <c r="B35" s="194" t="s">
        <v>362</v>
      </c>
      <c r="C35" t="s">
        <v>342</v>
      </c>
      <c r="D35" t="s">
        <v>374</v>
      </c>
      <c r="E35" s="205">
        <v>0</v>
      </c>
      <c r="F35" s="210"/>
      <c r="J35" s="198" t="s">
        <v>361</v>
      </c>
      <c r="K35" s="79">
        <v>-5782</v>
      </c>
      <c r="O35" s="207" t="s">
        <v>254</v>
      </c>
      <c r="P35" s="206">
        <f>8110787.6+127229.2</f>
        <v>8238016.7999999998</v>
      </c>
      <c r="Q35" s="79">
        <f>127229.2</f>
        <v>127229.2</v>
      </c>
      <c r="V35" s="197" t="s">
        <v>440</v>
      </c>
      <c r="W35">
        <v>15169806</v>
      </c>
      <c r="AA35" s="79"/>
      <c r="AE35" s="79"/>
      <c r="AF35" s="79"/>
    </row>
    <row r="36" spans="1:32" x14ac:dyDescent="0.25">
      <c r="A36">
        <v>3</v>
      </c>
      <c r="B36" s="194" t="s">
        <v>362</v>
      </c>
      <c r="C36" t="s">
        <v>342</v>
      </c>
      <c r="D36" t="s">
        <v>375</v>
      </c>
      <c r="E36" s="205">
        <v>23130200</v>
      </c>
      <c r="F36" s="210"/>
      <c r="G36" s="199"/>
      <c r="J36" s="198" t="s">
        <v>351</v>
      </c>
      <c r="K36" s="79">
        <v>-13550.635</v>
      </c>
      <c r="V36" s="197" t="s">
        <v>442</v>
      </c>
      <c r="W36">
        <v>0</v>
      </c>
      <c r="AA36" s="79"/>
    </row>
    <row r="37" spans="1:32" x14ac:dyDescent="0.25">
      <c r="E37" s="79"/>
      <c r="J37" s="198" t="s">
        <v>350</v>
      </c>
      <c r="K37" s="79">
        <v>-4109562.7888000002</v>
      </c>
      <c r="V37" s="197" t="s">
        <v>443</v>
      </c>
      <c r="W37">
        <v>700000</v>
      </c>
      <c r="Z37" s="207"/>
      <c r="AA37" s="206"/>
      <c r="AD37" s="207" t="s">
        <v>404</v>
      </c>
      <c r="AE37" s="206"/>
      <c r="AF37" s="206"/>
    </row>
    <row r="38" spans="1:32" x14ac:dyDescent="0.25">
      <c r="E38" s="79"/>
      <c r="J38" s="198" t="s">
        <v>359</v>
      </c>
      <c r="K38" s="79">
        <v>-195217.62890000001</v>
      </c>
      <c r="O38" s="209" t="s">
        <v>370</v>
      </c>
      <c r="P38" s="203">
        <f>SUM(P39:P40)</f>
        <v>26747539.199999999</v>
      </c>
      <c r="V38" s="197" t="s">
        <v>448</v>
      </c>
      <c r="W38">
        <v>0</v>
      </c>
      <c r="Z38" s="207"/>
      <c r="AA38" s="206"/>
      <c r="AD38" s="207" t="s">
        <v>405</v>
      </c>
      <c r="AE38" s="206">
        <f>'Holdings Summary'!T19-'Holdings Summary'!AB9</f>
        <v>182925177.47935408</v>
      </c>
      <c r="AF38" s="206" t="s">
        <v>451</v>
      </c>
    </row>
    <row r="39" spans="1:32" x14ac:dyDescent="0.25">
      <c r="E39" s="79"/>
      <c r="J39" s="198" t="s">
        <v>365</v>
      </c>
      <c r="K39" s="79">
        <v>-633500</v>
      </c>
      <c r="O39" s="207" t="s">
        <v>367</v>
      </c>
      <c r="P39" s="206">
        <v>1584939</v>
      </c>
      <c r="V39" s="197" t="s">
        <v>449</v>
      </c>
      <c r="W39">
        <v>13500000</v>
      </c>
    </row>
    <row r="40" spans="1:32" x14ac:dyDescent="0.25">
      <c r="E40" s="79"/>
      <c r="J40" s="198" t="s">
        <v>366</v>
      </c>
      <c r="K40" s="79">
        <v>-324443.52000000002</v>
      </c>
      <c r="L40" s="199"/>
      <c r="O40" s="207" t="s">
        <v>371</v>
      </c>
      <c r="P40" s="206">
        <f>E34+E36</f>
        <v>25162600.199999999</v>
      </c>
      <c r="V40" s="197" t="s">
        <v>471</v>
      </c>
      <c r="W40">
        <v>2500000</v>
      </c>
    </row>
    <row r="41" spans="1:32" x14ac:dyDescent="0.25">
      <c r="E41" s="79"/>
      <c r="J41" s="197" t="s">
        <v>342</v>
      </c>
      <c r="K41" s="79">
        <v>205425439.77599999</v>
      </c>
      <c r="V41" s="132" t="s">
        <v>265</v>
      </c>
    </row>
    <row r="42" spans="1:32" x14ac:dyDescent="0.25">
      <c r="E42" s="79"/>
      <c r="J42" s="198" t="s">
        <v>346</v>
      </c>
      <c r="K42" s="79">
        <v>10000000</v>
      </c>
      <c r="O42" t="s">
        <v>376</v>
      </c>
      <c r="P42" s="79">
        <v>69266087.170000002</v>
      </c>
      <c r="V42" s="197" t="s">
        <v>265</v>
      </c>
    </row>
    <row r="43" spans="1:32" x14ac:dyDescent="0.25">
      <c r="E43" s="79"/>
      <c r="J43" s="198" t="s">
        <v>353</v>
      </c>
      <c r="K43" s="79">
        <v>0</v>
      </c>
      <c r="O43" t="s">
        <v>379</v>
      </c>
      <c r="P43" s="208">
        <f>P30-Q30</f>
        <v>88603488.599999994</v>
      </c>
      <c r="V43" s="132" t="s">
        <v>141</v>
      </c>
      <c r="W43">
        <v>0</v>
      </c>
    </row>
    <row r="44" spans="1:32" x14ac:dyDescent="0.25">
      <c r="E44" s="79"/>
      <c r="J44" s="198" t="s">
        <v>356</v>
      </c>
      <c r="K44" s="79">
        <v>15847722.126</v>
      </c>
      <c r="P44" s="199">
        <f>P42+P43</f>
        <v>157869575.76999998</v>
      </c>
      <c r="Q44" s="199">
        <f>K55-P44</f>
        <v>52372411.819100022</v>
      </c>
      <c r="V44" s="197" t="s">
        <v>307</v>
      </c>
      <c r="W44">
        <v>0</v>
      </c>
    </row>
    <row r="45" spans="1:32" x14ac:dyDescent="0.25">
      <c r="E45" s="79"/>
      <c r="J45" s="198" t="s">
        <v>349</v>
      </c>
      <c r="K45" s="79">
        <v>93867317.450000003</v>
      </c>
      <c r="O45" t="s">
        <v>377</v>
      </c>
      <c r="P45" s="79">
        <v>4599310</v>
      </c>
      <c r="Q45" s="199"/>
      <c r="V45" s="132" t="s">
        <v>64</v>
      </c>
      <c r="W45" s="79">
        <v>965701098.15462065</v>
      </c>
    </row>
    <row r="46" spans="1:32" x14ac:dyDescent="0.25">
      <c r="J46" s="198" t="s">
        <v>358</v>
      </c>
      <c r="K46" s="79">
        <v>60547800</v>
      </c>
      <c r="O46" t="s">
        <v>378</v>
      </c>
      <c r="P46" s="199">
        <v>5200000</v>
      </c>
      <c r="Q46" s="199"/>
    </row>
    <row r="47" spans="1:32" x14ac:dyDescent="0.25">
      <c r="J47" s="198" t="s">
        <v>373</v>
      </c>
      <c r="K47" s="79">
        <v>2032400.2</v>
      </c>
      <c r="O47" t="s">
        <v>380</v>
      </c>
      <c r="P47" s="211">
        <v>31500000</v>
      </c>
    </row>
    <row r="48" spans="1:32" x14ac:dyDescent="0.25">
      <c r="J48" s="198" t="s">
        <v>374</v>
      </c>
      <c r="K48" s="79">
        <v>0</v>
      </c>
      <c r="P48" s="199">
        <f>SUM(P45:P47)</f>
        <v>41299310</v>
      </c>
      <c r="Q48" s="199"/>
    </row>
    <row r="49" spans="9:18" x14ac:dyDescent="0.25">
      <c r="J49" s="198" t="s">
        <v>375</v>
      </c>
      <c r="K49" s="79">
        <v>23130200</v>
      </c>
      <c r="O49" t="s">
        <v>382</v>
      </c>
      <c r="P49" s="199">
        <v>9500000</v>
      </c>
      <c r="Q49" s="199"/>
      <c r="R49" s="199"/>
    </row>
    <row r="50" spans="9:18" x14ac:dyDescent="0.25">
      <c r="J50" s="197" t="s">
        <v>364</v>
      </c>
      <c r="K50" s="79">
        <v>0</v>
      </c>
      <c r="O50" t="s">
        <v>383</v>
      </c>
      <c r="P50" s="199">
        <v>1574212</v>
      </c>
      <c r="Q50" s="199"/>
    </row>
    <row r="51" spans="9:18" x14ac:dyDescent="0.25">
      <c r="J51" s="198" t="s">
        <v>364</v>
      </c>
      <c r="K51" s="79">
        <v>0</v>
      </c>
      <c r="O51" t="s">
        <v>385</v>
      </c>
      <c r="P51" s="199">
        <v>50000</v>
      </c>
    </row>
    <row r="52" spans="9:18" x14ac:dyDescent="0.25">
      <c r="J52" s="132" t="s">
        <v>265</v>
      </c>
      <c r="K52" s="79"/>
      <c r="P52" s="199">
        <f>P49+P50+P51</f>
        <v>11124212</v>
      </c>
    </row>
    <row r="53" spans="9:18" x14ac:dyDescent="0.25">
      <c r="J53" s="197" t="s">
        <v>265</v>
      </c>
      <c r="K53" s="79"/>
    </row>
    <row r="54" spans="9:18" x14ac:dyDescent="0.25">
      <c r="J54" s="198" t="s">
        <v>265</v>
      </c>
      <c r="K54" s="79"/>
      <c r="P54" s="79"/>
      <c r="Q54" s="199"/>
    </row>
    <row r="55" spans="9:18" x14ac:dyDescent="0.25">
      <c r="I55" t="s">
        <v>384</v>
      </c>
      <c r="J55" s="132" t="s">
        <v>64</v>
      </c>
      <c r="K55" s="79">
        <v>210241987.5891</v>
      </c>
      <c r="M55" s="199"/>
      <c r="P55" s="199">
        <f>P44+P48-P39+P52</f>
        <v>208708158.76999998</v>
      </c>
      <c r="Q55" s="199">
        <f>K58-P55</f>
        <v>1533828.8191000223</v>
      </c>
      <c r="R55" t="s">
        <v>400</v>
      </c>
    </row>
    <row r="56" spans="9:18" x14ac:dyDescent="0.25">
      <c r="M56" s="199"/>
      <c r="P56" s="199"/>
      <c r="Q56" s="199"/>
    </row>
    <row r="57" spans="9:18" x14ac:dyDescent="0.25">
      <c r="I57" t="s">
        <v>384</v>
      </c>
      <c r="J57" t="s">
        <v>381</v>
      </c>
      <c r="K57" s="79">
        <f>P4</f>
        <v>0</v>
      </c>
      <c r="P57" s="199"/>
    </row>
    <row r="58" spans="9:18" x14ac:dyDescent="0.25">
      <c r="K58" s="199">
        <f>K55+P4</f>
        <v>210241987.5891</v>
      </c>
      <c r="O58" s="199"/>
      <c r="P58" s="199"/>
    </row>
    <row r="59" spans="9:18" x14ac:dyDescent="0.25">
      <c r="O59" s="199"/>
      <c r="P59" s="199"/>
    </row>
    <row r="61" spans="9:18" x14ac:dyDescent="0.25">
      <c r="K61" s="199"/>
    </row>
  </sheetData>
  <autoFilter ref="A4:E48" xr:uid="{00000000-0009-0000-0000-000005000000}"/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9"/>
  <sheetViews>
    <sheetView workbookViewId="0">
      <selection activeCell="AE21" sqref="AE20:AE21"/>
    </sheetView>
  </sheetViews>
  <sheetFormatPr defaultColWidth="8.85546875" defaultRowHeight="15" x14ac:dyDescent="0.25"/>
  <cols>
    <col min="1" max="1" width="20.5703125" customWidth="1"/>
    <col min="2" max="2" width="16.28515625" bestFit="1" customWidth="1"/>
    <col min="5" max="5" width="21.42578125" customWidth="1"/>
    <col min="6" max="6" width="32.7109375" customWidth="1"/>
    <col min="9" max="9" width="15.140625" customWidth="1"/>
    <col min="10" max="10" width="20.85546875" customWidth="1"/>
    <col min="12" max="12" width="19.42578125" bestFit="1" customWidth="1"/>
    <col min="13" max="13" width="14.7109375" customWidth="1"/>
    <col min="16" max="16" width="9.140625" style="213"/>
    <col min="19" max="19" width="68.28515625" customWidth="1"/>
    <col min="20" max="20" width="15.42578125" customWidth="1"/>
    <col min="23" max="23" width="35.85546875" bestFit="1" customWidth="1"/>
    <col min="24" max="24" width="31.7109375" customWidth="1"/>
    <col min="27" max="27" width="61.140625" customWidth="1"/>
    <col min="28" max="28" width="20.85546875" customWidth="1"/>
    <col min="31" max="31" width="68.28515625" bestFit="1" customWidth="1"/>
    <col min="32" max="32" width="17.85546875" bestFit="1" customWidth="1"/>
  </cols>
  <sheetData>
    <row r="1" spans="1:32" x14ac:dyDescent="0.25">
      <c r="A1" s="196" t="s">
        <v>390</v>
      </c>
      <c r="B1" s="196"/>
      <c r="E1" s="196" t="s">
        <v>392</v>
      </c>
      <c r="F1" s="196"/>
      <c r="I1" s="196" t="s">
        <v>393</v>
      </c>
      <c r="J1" s="196"/>
      <c r="L1" s="196" t="s">
        <v>394</v>
      </c>
      <c r="M1" s="196"/>
      <c r="S1" s="196" t="s">
        <v>396</v>
      </c>
      <c r="T1" s="196"/>
      <c r="W1" s="196" t="s">
        <v>397</v>
      </c>
      <c r="X1" s="196"/>
      <c r="AA1" s="196" t="s">
        <v>398</v>
      </c>
      <c r="AB1" s="196"/>
      <c r="AE1" s="196" t="s">
        <v>399</v>
      </c>
      <c r="AF1" s="196"/>
    </row>
    <row r="3" spans="1:32" x14ac:dyDescent="0.25">
      <c r="A3" s="134" t="s">
        <v>81</v>
      </c>
      <c r="B3" t="s">
        <v>255</v>
      </c>
      <c r="E3" s="134" t="s">
        <v>81</v>
      </c>
      <c r="F3" t="s">
        <v>214</v>
      </c>
      <c r="I3" s="134" t="s">
        <v>386</v>
      </c>
      <c r="J3" t="s">
        <v>389</v>
      </c>
      <c r="L3" s="134" t="s">
        <v>386</v>
      </c>
      <c r="M3" t="s">
        <v>387</v>
      </c>
      <c r="S3" s="134" t="s">
        <v>81</v>
      </c>
      <c r="T3" t="s">
        <v>251</v>
      </c>
      <c r="W3" s="134" t="s">
        <v>81</v>
      </c>
      <c r="X3" t="s">
        <v>252</v>
      </c>
      <c r="AA3" s="134" t="s">
        <v>386</v>
      </c>
      <c r="AB3" t="s">
        <v>389</v>
      </c>
      <c r="AE3" s="134" t="s">
        <v>386</v>
      </c>
      <c r="AF3" t="s">
        <v>395</v>
      </c>
    </row>
    <row r="5" spans="1:32" x14ac:dyDescent="0.25">
      <c r="A5" s="133" t="s">
        <v>391</v>
      </c>
      <c r="B5" s="133" t="s">
        <v>43</v>
      </c>
      <c r="E5" s="133" t="s">
        <v>391</v>
      </c>
      <c r="F5" s="133" t="s">
        <v>43</v>
      </c>
      <c r="I5" s="133" t="s">
        <v>391</v>
      </c>
      <c r="J5" s="133" t="s">
        <v>43</v>
      </c>
      <c r="L5" s="133" t="s">
        <v>391</v>
      </c>
      <c r="M5" s="133" t="s">
        <v>43</v>
      </c>
      <c r="S5" s="133" t="s">
        <v>391</v>
      </c>
      <c r="T5" s="133" t="s">
        <v>43</v>
      </c>
      <c r="W5" s="133" t="s">
        <v>391</v>
      </c>
      <c r="X5" s="133" t="s">
        <v>43</v>
      </c>
      <c r="AA5" s="133" t="s">
        <v>391</v>
      </c>
      <c r="AB5" s="133" t="s">
        <v>43</v>
      </c>
      <c r="AE5" s="133" t="s">
        <v>391</v>
      </c>
      <c r="AF5" s="133" t="s">
        <v>43</v>
      </c>
    </row>
    <row r="6" spans="1:32" x14ac:dyDescent="0.25">
      <c r="A6" s="132" t="s">
        <v>389</v>
      </c>
      <c r="B6" s="79">
        <v>24386166.800000001</v>
      </c>
      <c r="E6" s="132" t="s">
        <v>387</v>
      </c>
      <c r="F6" s="79">
        <v>107448061.39802732</v>
      </c>
      <c r="I6" s="132" t="s">
        <v>16</v>
      </c>
      <c r="J6" s="79">
        <v>20087829.300000001</v>
      </c>
      <c r="L6" s="132" t="s">
        <v>6</v>
      </c>
      <c r="M6" s="79">
        <v>101285005.39802732</v>
      </c>
      <c r="S6" s="132" t="s">
        <v>389</v>
      </c>
      <c r="T6" s="79">
        <v>92406490.592611194</v>
      </c>
      <c r="W6" s="132" t="s">
        <v>387</v>
      </c>
      <c r="X6" s="79">
        <v>3946196.5210159998</v>
      </c>
      <c r="AA6" s="132" t="s">
        <v>16</v>
      </c>
      <c r="AB6" s="79">
        <v>92406490.592611194</v>
      </c>
      <c r="AE6" s="132" t="s">
        <v>16</v>
      </c>
      <c r="AF6" s="214">
        <v>47626021.951543704</v>
      </c>
    </row>
    <row r="7" spans="1:32" x14ac:dyDescent="0.25">
      <c r="A7" s="197" t="s">
        <v>16</v>
      </c>
      <c r="B7" s="79">
        <v>20087829.300000001</v>
      </c>
      <c r="E7" s="197" t="s">
        <v>6</v>
      </c>
      <c r="F7" s="79">
        <v>101285005.39802732</v>
      </c>
      <c r="I7" s="197" t="s">
        <v>254</v>
      </c>
      <c r="J7" s="79">
        <v>20087829.300000001</v>
      </c>
      <c r="L7" s="197" t="s">
        <v>238</v>
      </c>
      <c r="M7" s="79">
        <v>1027439.97802734</v>
      </c>
      <c r="S7" s="197" t="s">
        <v>118</v>
      </c>
      <c r="T7" s="79">
        <v>51528622.843067303</v>
      </c>
      <c r="W7" s="197" t="s">
        <v>262</v>
      </c>
      <c r="X7" s="79">
        <v>3946196.5210159998</v>
      </c>
      <c r="AA7" s="197" t="s">
        <v>118</v>
      </c>
      <c r="AB7" s="79">
        <v>51528622.843067303</v>
      </c>
      <c r="AE7" s="197" t="s">
        <v>117</v>
      </c>
      <c r="AF7" s="214">
        <v>5666626.7684837999</v>
      </c>
    </row>
    <row r="8" spans="1:32" x14ac:dyDescent="0.25">
      <c r="A8" s="198" t="s">
        <v>254</v>
      </c>
      <c r="B8" s="79">
        <v>20087829.300000001</v>
      </c>
      <c r="E8" s="198" t="s">
        <v>238</v>
      </c>
      <c r="F8" s="79">
        <v>1027439.97802734</v>
      </c>
      <c r="I8" s="132" t="s">
        <v>6</v>
      </c>
      <c r="J8" s="79">
        <v>4298337.5</v>
      </c>
      <c r="L8" s="197" t="s">
        <v>97</v>
      </c>
      <c r="M8" s="79">
        <v>10842900</v>
      </c>
      <c r="S8" s="197" t="s">
        <v>262</v>
      </c>
      <c r="T8" s="79">
        <v>40877867.749543898</v>
      </c>
      <c r="W8" s="132" t="s">
        <v>64</v>
      </c>
      <c r="X8" s="79">
        <v>3946196.5210159998</v>
      </c>
      <c r="AA8" s="197" t="s">
        <v>262</v>
      </c>
      <c r="AB8" s="79">
        <v>40877867.749543898</v>
      </c>
      <c r="AE8" s="197" t="s">
        <v>262</v>
      </c>
      <c r="AF8" s="214">
        <v>3946196.5210159998</v>
      </c>
    </row>
    <row r="9" spans="1:32" x14ac:dyDescent="0.25">
      <c r="A9" s="197" t="s">
        <v>6</v>
      </c>
      <c r="B9" s="79">
        <v>4298337.5</v>
      </c>
      <c r="E9" s="198" t="s">
        <v>97</v>
      </c>
      <c r="F9" s="79">
        <v>10842900</v>
      </c>
      <c r="I9" s="197" t="s">
        <v>430</v>
      </c>
      <c r="J9" s="79">
        <v>4298337.5</v>
      </c>
      <c r="L9" s="197" t="s">
        <v>240</v>
      </c>
      <c r="M9" s="79">
        <v>1359213.75</v>
      </c>
      <c r="S9" s="132" t="s">
        <v>388</v>
      </c>
      <c r="T9" s="79">
        <v>182925177.47935408</v>
      </c>
      <c r="AA9" s="132" t="s">
        <v>64</v>
      </c>
      <c r="AB9" s="79">
        <v>92406490.592611194</v>
      </c>
      <c r="AE9" s="197" t="s">
        <v>116</v>
      </c>
      <c r="AF9" s="214">
        <v>38013198.662043899</v>
      </c>
    </row>
    <row r="10" spans="1:32" x14ac:dyDescent="0.25">
      <c r="A10" s="198" t="s">
        <v>430</v>
      </c>
      <c r="B10" s="79">
        <v>4298337.5</v>
      </c>
      <c r="E10" s="198" t="s">
        <v>240</v>
      </c>
      <c r="F10" s="79">
        <v>1359213.75</v>
      </c>
      <c r="I10" s="132" t="s">
        <v>64</v>
      </c>
      <c r="J10" s="79">
        <v>24386166.800000001</v>
      </c>
      <c r="L10" s="197" t="s">
        <v>243</v>
      </c>
      <c r="M10" s="79">
        <v>2052562.2</v>
      </c>
      <c r="S10" s="197" t="s">
        <v>117</v>
      </c>
      <c r="T10" s="79">
        <v>5666626.7684837999</v>
      </c>
      <c r="AE10" s="132" t="s">
        <v>6</v>
      </c>
      <c r="AF10" s="214">
        <v>139245352.0488264</v>
      </c>
    </row>
    <row r="11" spans="1:32" x14ac:dyDescent="0.25">
      <c r="A11" s="132" t="s">
        <v>64</v>
      </c>
      <c r="B11" s="79">
        <v>24386166.800000001</v>
      </c>
      <c r="E11" s="198" t="s">
        <v>243</v>
      </c>
      <c r="F11" s="79">
        <v>2052562.2</v>
      </c>
      <c r="L11" s="197" t="s">
        <v>246</v>
      </c>
      <c r="M11" s="79">
        <v>1511517.5999999901</v>
      </c>
      <c r="S11" s="197" t="s">
        <v>253</v>
      </c>
      <c r="T11" s="79">
        <v>3658679.8830041899</v>
      </c>
      <c r="AE11" s="197" t="s">
        <v>253</v>
      </c>
      <c r="AF11" s="214">
        <v>3658679.8830041899</v>
      </c>
    </row>
    <row r="12" spans="1:32" x14ac:dyDescent="0.25">
      <c r="E12" s="198" t="s">
        <v>246</v>
      </c>
      <c r="F12" s="79">
        <v>1511517.5999999901</v>
      </c>
      <c r="L12" s="197" t="s">
        <v>231</v>
      </c>
      <c r="M12" s="79">
        <v>2279628.5499999998</v>
      </c>
      <c r="S12" s="197" t="s">
        <v>111</v>
      </c>
      <c r="T12" s="79">
        <v>29509718.586378299</v>
      </c>
      <c r="AB12" s="79"/>
      <c r="AE12" s="197" t="s">
        <v>111</v>
      </c>
      <c r="AF12" s="214">
        <v>29509718.586378299</v>
      </c>
    </row>
    <row r="13" spans="1:32" x14ac:dyDescent="0.25">
      <c r="E13" s="198" t="s">
        <v>231</v>
      </c>
      <c r="F13" s="79">
        <v>2279628.5499999998</v>
      </c>
      <c r="L13" s="197" t="s">
        <v>222</v>
      </c>
      <c r="M13" s="79">
        <v>1263716.25</v>
      </c>
      <c r="S13" s="197" t="s">
        <v>105</v>
      </c>
      <c r="T13" s="79">
        <v>39996119.732864</v>
      </c>
      <c r="AE13" s="197" t="s">
        <v>105</v>
      </c>
      <c r="AF13" s="214">
        <v>39996119.732864</v>
      </c>
    </row>
    <row r="14" spans="1:32" x14ac:dyDescent="0.25">
      <c r="E14" s="198" t="s">
        <v>222</v>
      </c>
      <c r="F14" s="79">
        <v>1263716.25</v>
      </c>
      <c r="L14" s="197" t="s">
        <v>236</v>
      </c>
      <c r="M14" s="79">
        <v>1284227.55</v>
      </c>
      <c r="S14" s="197" t="s">
        <v>103</v>
      </c>
      <c r="T14" s="79">
        <v>8390499.7837770004</v>
      </c>
      <c r="AE14" s="197" t="s">
        <v>103</v>
      </c>
      <c r="AF14" s="214">
        <v>8390499.7837770004</v>
      </c>
    </row>
    <row r="15" spans="1:32" x14ac:dyDescent="0.25">
      <c r="E15" s="198" t="s">
        <v>236</v>
      </c>
      <c r="F15" s="79">
        <v>1284227.55</v>
      </c>
      <c r="L15" s="197" t="s">
        <v>249</v>
      </c>
      <c r="M15" s="79">
        <v>1513289.2</v>
      </c>
      <c r="S15" s="197" t="s">
        <v>107</v>
      </c>
      <c r="T15" s="79">
        <v>243120.84777200001</v>
      </c>
      <c r="AE15" s="197" t="s">
        <v>107</v>
      </c>
      <c r="AF15" s="214">
        <v>243120.84777200001</v>
      </c>
    </row>
    <row r="16" spans="1:32" x14ac:dyDescent="0.25">
      <c r="E16" s="198" t="s">
        <v>249</v>
      </c>
      <c r="F16" s="79">
        <v>1513289.2</v>
      </c>
      <c r="L16" s="197" t="s">
        <v>224</v>
      </c>
      <c r="M16" s="79">
        <v>1649046</v>
      </c>
      <c r="S16" s="197" t="s">
        <v>109</v>
      </c>
      <c r="T16" s="79">
        <v>18067479.920564901</v>
      </c>
      <c r="AE16" s="197" t="s">
        <v>109</v>
      </c>
      <c r="AF16" s="214">
        <v>18067479.920564901</v>
      </c>
    </row>
    <row r="17" spans="5:32" x14ac:dyDescent="0.25">
      <c r="E17" s="198" t="s">
        <v>224</v>
      </c>
      <c r="F17" s="79">
        <v>1649046</v>
      </c>
      <c r="L17" s="197" t="s">
        <v>94</v>
      </c>
      <c r="M17" s="79">
        <v>4912865.3999999901</v>
      </c>
      <c r="S17" s="197" t="s">
        <v>116</v>
      </c>
      <c r="T17" s="79">
        <v>38013198.662043899</v>
      </c>
      <c r="AE17" s="197" t="s">
        <v>114</v>
      </c>
      <c r="AF17" s="214">
        <v>39379733.294465996</v>
      </c>
    </row>
    <row r="18" spans="5:32" x14ac:dyDescent="0.25">
      <c r="E18" s="198" t="s">
        <v>94</v>
      </c>
      <c r="F18" s="79">
        <v>4912865.3999999901</v>
      </c>
      <c r="L18" s="197" t="s">
        <v>237</v>
      </c>
      <c r="M18" s="79">
        <v>1595409.2</v>
      </c>
      <c r="S18" s="197" t="s">
        <v>114</v>
      </c>
      <c r="T18" s="79">
        <v>39379733.294465996</v>
      </c>
      <c r="AE18" s="132" t="s">
        <v>64</v>
      </c>
      <c r="AF18" s="214">
        <v>186871374.00037006</v>
      </c>
    </row>
    <row r="19" spans="5:32" x14ac:dyDescent="0.25">
      <c r="E19" s="198" t="s">
        <v>237</v>
      </c>
      <c r="F19" s="79">
        <v>1595409.2</v>
      </c>
      <c r="L19" s="197" t="s">
        <v>239</v>
      </c>
      <c r="M19" s="79">
        <v>2446471.7999999998</v>
      </c>
      <c r="S19" s="132" t="s">
        <v>64</v>
      </c>
      <c r="T19" s="79">
        <v>275331668.07196528</v>
      </c>
    </row>
    <row r="20" spans="5:32" x14ac:dyDescent="0.25">
      <c r="E20" s="198" t="s">
        <v>239</v>
      </c>
      <c r="F20" s="79">
        <v>2446471.7999999998</v>
      </c>
      <c r="L20" s="197" t="s">
        <v>245</v>
      </c>
      <c r="M20" s="79">
        <v>3194246.4</v>
      </c>
    </row>
    <row r="21" spans="5:32" x14ac:dyDescent="0.25">
      <c r="E21" s="198" t="s">
        <v>245</v>
      </c>
      <c r="F21" s="79">
        <v>3194246.4</v>
      </c>
      <c r="L21" s="197" t="s">
        <v>241</v>
      </c>
      <c r="M21" s="79">
        <v>1290143.75</v>
      </c>
      <c r="T21" s="79"/>
    </row>
    <row r="22" spans="5:32" x14ac:dyDescent="0.25">
      <c r="E22" s="198" t="s">
        <v>241</v>
      </c>
      <c r="F22" s="79">
        <v>1290143.75</v>
      </c>
      <c r="L22" s="197" t="s">
        <v>229</v>
      </c>
      <c r="M22" s="79">
        <v>1705914.5999999901</v>
      </c>
      <c r="T22" s="79"/>
    </row>
    <row r="23" spans="5:32" x14ac:dyDescent="0.25">
      <c r="E23" s="198" t="s">
        <v>229</v>
      </c>
      <c r="F23" s="79">
        <v>1705914.5999999901</v>
      </c>
      <c r="L23" s="197" t="s">
        <v>250</v>
      </c>
      <c r="M23" s="79">
        <v>1342478.9</v>
      </c>
    </row>
    <row r="24" spans="5:32" x14ac:dyDescent="0.25">
      <c r="E24" s="198" t="s">
        <v>250</v>
      </c>
      <c r="F24" s="79">
        <v>1342478.9</v>
      </c>
      <c r="L24" s="197" t="s">
        <v>230</v>
      </c>
      <c r="M24" s="79">
        <v>1115123.76</v>
      </c>
    </row>
    <row r="25" spans="5:32" x14ac:dyDescent="0.25">
      <c r="E25" s="198" t="s">
        <v>230</v>
      </c>
      <c r="F25" s="79">
        <v>1115123.76</v>
      </c>
      <c r="L25" s="197" t="s">
        <v>232</v>
      </c>
      <c r="M25" s="79">
        <v>1899432.45</v>
      </c>
    </row>
    <row r="26" spans="5:32" x14ac:dyDescent="0.25">
      <c r="E26" s="198" t="s">
        <v>232</v>
      </c>
      <c r="F26" s="79">
        <v>1899432.45</v>
      </c>
      <c r="L26" s="197" t="s">
        <v>234</v>
      </c>
      <c r="M26" s="79">
        <v>1312887.2</v>
      </c>
    </row>
    <row r="27" spans="5:32" x14ac:dyDescent="0.25">
      <c r="E27" s="198" t="s">
        <v>234</v>
      </c>
      <c r="F27" s="79">
        <v>1312887.2</v>
      </c>
      <c r="L27" s="197" t="s">
        <v>95</v>
      </c>
      <c r="M27" s="79">
        <v>11513023.75</v>
      </c>
      <c r="W27" s="199"/>
      <c r="X27" s="199"/>
    </row>
    <row r="28" spans="5:32" x14ac:dyDescent="0.25">
      <c r="E28" s="198" t="s">
        <v>95</v>
      </c>
      <c r="F28" s="79">
        <v>11513023.75</v>
      </c>
      <c r="L28" s="197" t="s">
        <v>226</v>
      </c>
      <c r="M28" s="79">
        <v>1570171.68</v>
      </c>
    </row>
    <row r="29" spans="5:32" x14ac:dyDescent="0.25">
      <c r="E29" s="198" t="s">
        <v>226</v>
      </c>
      <c r="F29" s="79">
        <v>1570171.68</v>
      </c>
      <c r="L29" s="197" t="s">
        <v>228</v>
      </c>
      <c r="M29" s="79">
        <v>1164644.25</v>
      </c>
      <c r="W29" s="199">
        <f>T26+X19</f>
        <v>0</v>
      </c>
    </row>
    <row r="30" spans="5:32" x14ac:dyDescent="0.25">
      <c r="E30" s="198" t="s">
        <v>228</v>
      </c>
      <c r="F30" s="79">
        <v>1164644.25</v>
      </c>
      <c r="L30" s="197" t="s">
        <v>242</v>
      </c>
      <c r="M30" s="79">
        <v>1635722.4</v>
      </c>
    </row>
    <row r="31" spans="5:32" x14ac:dyDescent="0.25">
      <c r="E31" s="198" t="s">
        <v>242</v>
      </c>
      <c r="F31" s="79">
        <v>1635722.4</v>
      </c>
      <c r="L31" s="197" t="s">
        <v>247</v>
      </c>
      <c r="M31" s="79">
        <v>1298922.5</v>
      </c>
    </row>
    <row r="32" spans="5:32" x14ac:dyDescent="0.25">
      <c r="E32" s="198" t="s">
        <v>247</v>
      </c>
      <c r="F32" s="79">
        <v>1298922.5</v>
      </c>
      <c r="L32" s="197" t="s">
        <v>244</v>
      </c>
      <c r="M32" s="79">
        <v>1541877.6</v>
      </c>
    </row>
    <row r="33" spans="5:13" x14ac:dyDescent="0.25">
      <c r="E33" s="198" t="s">
        <v>244</v>
      </c>
      <c r="F33" s="79">
        <v>1541877.6</v>
      </c>
      <c r="L33" s="197" t="s">
        <v>248</v>
      </c>
      <c r="M33" s="79">
        <v>2077107.72</v>
      </c>
    </row>
    <row r="34" spans="5:13" x14ac:dyDescent="0.25">
      <c r="E34" s="198" t="s">
        <v>248</v>
      </c>
      <c r="F34" s="79">
        <v>2077107.72</v>
      </c>
      <c r="L34" s="197" t="s">
        <v>233</v>
      </c>
      <c r="M34" s="79">
        <v>1695047.7</v>
      </c>
    </row>
    <row r="35" spans="5:13" x14ac:dyDescent="0.25">
      <c r="E35" s="198" t="s">
        <v>233</v>
      </c>
      <c r="F35" s="79">
        <v>1695047.7</v>
      </c>
      <c r="L35" s="197" t="s">
        <v>227</v>
      </c>
      <c r="M35" s="79">
        <v>1359858.9</v>
      </c>
    </row>
    <row r="36" spans="5:13" x14ac:dyDescent="0.25">
      <c r="E36" s="198" t="s">
        <v>227</v>
      </c>
      <c r="F36" s="79">
        <v>1359858.9</v>
      </c>
      <c r="L36" s="197" t="s">
        <v>235</v>
      </c>
      <c r="M36" s="79">
        <v>1383361</v>
      </c>
    </row>
    <row r="37" spans="5:13" x14ac:dyDescent="0.25">
      <c r="E37" s="198" t="s">
        <v>235</v>
      </c>
      <c r="F37" s="79">
        <v>1383361</v>
      </c>
      <c r="L37" s="197" t="s">
        <v>225</v>
      </c>
      <c r="M37" s="79">
        <v>1813395</v>
      </c>
    </row>
    <row r="38" spans="5:13" x14ac:dyDescent="0.25">
      <c r="E38" s="198" t="s">
        <v>225</v>
      </c>
      <c r="F38" s="79">
        <v>1813395</v>
      </c>
      <c r="L38" s="197" t="s">
        <v>223</v>
      </c>
      <c r="M38" s="79">
        <v>1669800</v>
      </c>
    </row>
    <row r="39" spans="5:13" x14ac:dyDescent="0.25">
      <c r="E39" s="198" t="s">
        <v>223</v>
      </c>
      <c r="F39" s="79">
        <v>1669800</v>
      </c>
      <c r="L39" s="197" t="s">
        <v>433</v>
      </c>
      <c r="M39" s="79">
        <v>4281200</v>
      </c>
    </row>
    <row r="40" spans="5:13" x14ac:dyDescent="0.25">
      <c r="E40" s="198" t="s">
        <v>433</v>
      </c>
      <c r="F40" s="79">
        <v>4281200</v>
      </c>
      <c r="L40" s="197" t="s">
        <v>446</v>
      </c>
      <c r="M40" s="79">
        <v>1815500</v>
      </c>
    </row>
    <row r="41" spans="5:13" x14ac:dyDescent="0.25">
      <c r="E41" s="198" t="s">
        <v>446</v>
      </c>
      <c r="F41" s="79">
        <v>1815500</v>
      </c>
      <c r="L41" s="197" t="s">
        <v>453</v>
      </c>
      <c r="M41" s="79">
        <v>3510000</v>
      </c>
    </row>
    <row r="42" spans="5:13" x14ac:dyDescent="0.25">
      <c r="E42" s="198" t="s">
        <v>453</v>
      </c>
      <c r="F42" s="79">
        <v>3510000</v>
      </c>
      <c r="L42" s="197" t="s">
        <v>454</v>
      </c>
      <c r="M42" s="79">
        <v>600000</v>
      </c>
    </row>
    <row r="43" spans="5:13" x14ac:dyDescent="0.25">
      <c r="E43" s="198" t="s">
        <v>454</v>
      </c>
      <c r="F43" s="79">
        <v>600000</v>
      </c>
      <c r="L43" s="197" t="s">
        <v>482</v>
      </c>
      <c r="M43" s="79">
        <v>5756234.3600000003</v>
      </c>
    </row>
    <row r="44" spans="5:13" x14ac:dyDescent="0.25">
      <c r="E44" s="198" t="s">
        <v>482</v>
      </c>
      <c r="F44" s="79">
        <v>5756234.3600000003</v>
      </c>
      <c r="L44" s="197" t="s">
        <v>483</v>
      </c>
      <c r="M44" s="79">
        <v>5675960</v>
      </c>
    </row>
    <row r="45" spans="5:13" x14ac:dyDescent="0.25">
      <c r="E45" s="198" t="s">
        <v>483</v>
      </c>
      <c r="F45" s="79">
        <v>5675960</v>
      </c>
      <c r="L45" s="197" t="s">
        <v>505</v>
      </c>
      <c r="M45" s="79">
        <v>5324664</v>
      </c>
    </row>
    <row r="46" spans="5:13" x14ac:dyDescent="0.25">
      <c r="E46" s="198" t="s">
        <v>505</v>
      </c>
      <c r="F46" s="79">
        <v>5324664</v>
      </c>
      <c r="L46" s="132" t="s">
        <v>58</v>
      </c>
      <c r="M46" s="79">
        <v>6163056</v>
      </c>
    </row>
    <row r="47" spans="5:13" x14ac:dyDescent="0.25">
      <c r="E47" s="197" t="s">
        <v>58</v>
      </c>
      <c r="F47" s="79">
        <v>6163056</v>
      </c>
      <c r="L47" s="197" t="s">
        <v>275</v>
      </c>
      <c r="M47" s="79">
        <v>6163056</v>
      </c>
    </row>
    <row r="48" spans="5:13" x14ac:dyDescent="0.25">
      <c r="E48" s="198" t="s">
        <v>275</v>
      </c>
      <c r="F48" s="79">
        <v>6163056</v>
      </c>
      <c r="L48" s="132" t="s">
        <v>64</v>
      </c>
      <c r="M48" s="79">
        <v>107448061.39802732</v>
      </c>
    </row>
    <row r="49" spans="5:6" x14ac:dyDescent="0.25">
      <c r="E49" s="132" t="s">
        <v>64</v>
      </c>
      <c r="F49" s="79">
        <v>107448061.39802732</v>
      </c>
    </row>
  </sheetData>
  <pageMargins left="0.7" right="0.7" top="0.75" bottom="0.75" header="0.3" footer="0.3"/>
  <pageSetup paperSize="9" orientation="portrait" horizontalDpi="0" verticalDpi="0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U56"/>
  <sheetViews>
    <sheetView topLeftCell="A22" zoomScaleNormal="100" workbookViewId="0">
      <selection activeCell="D8" sqref="D8"/>
    </sheetView>
  </sheetViews>
  <sheetFormatPr defaultRowHeight="15" x14ac:dyDescent="0.25"/>
  <cols>
    <col min="2" max="2" width="17.85546875" bestFit="1" customWidth="1"/>
    <col min="3" max="3" width="24.7109375" bestFit="1" customWidth="1"/>
    <col min="4" max="4" width="52.5703125" bestFit="1" customWidth="1"/>
    <col min="5" max="5" width="18.7109375" bestFit="1" customWidth="1"/>
    <col min="6" max="6" width="15.7109375" bestFit="1" customWidth="1"/>
    <col min="7" max="7" width="18.42578125" bestFit="1" customWidth="1"/>
    <col min="9" max="9" width="10.42578125" bestFit="1" customWidth="1"/>
    <col min="10" max="10" width="20.42578125" bestFit="1" customWidth="1"/>
    <col min="11" max="11" width="15.140625" bestFit="1" customWidth="1"/>
    <col min="12" max="12" width="12.5703125" bestFit="1" customWidth="1"/>
    <col min="13" max="13" width="7.85546875" customWidth="1"/>
    <col min="14" max="14" width="10.140625" bestFit="1" customWidth="1"/>
    <col min="15" max="15" width="14.7109375" bestFit="1" customWidth="1"/>
    <col min="16" max="16" width="14.42578125" bestFit="1" customWidth="1"/>
    <col min="17" max="17" width="18.5703125" customWidth="1"/>
    <col min="20" max="20" width="11.85546875" bestFit="1" customWidth="1"/>
    <col min="21" max="21" width="19.28515625" bestFit="1" customWidth="1"/>
  </cols>
  <sheetData>
    <row r="1" spans="1:21" x14ac:dyDescent="0.25">
      <c r="A1" s="196" t="s">
        <v>61</v>
      </c>
      <c r="B1" s="196"/>
      <c r="C1" s="196"/>
      <c r="D1" s="196"/>
      <c r="E1" s="196"/>
      <c r="F1" s="196"/>
      <c r="G1" s="196"/>
      <c r="H1" s="196"/>
      <c r="I1" s="196"/>
      <c r="J1" s="196"/>
      <c r="M1" s="30" t="s">
        <v>59</v>
      </c>
      <c r="N1" s="30"/>
      <c r="O1" s="30"/>
      <c r="P1" s="30"/>
      <c r="Q1" s="30"/>
      <c r="T1" s="30" t="s">
        <v>60</v>
      </c>
      <c r="U1" s="30"/>
    </row>
    <row r="2" spans="1:21" x14ac:dyDescent="0.25">
      <c r="M2" s="326"/>
      <c r="N2" s="326"/>
      <c r="O2" s="326"/>
      <c r="P2" s="326"/>
      <c r="Q2" s="326"/>
      <c r="T2" s="12"/>
      <c r="U2" s="12"/>
    </row>
    <row r="3" spans="1:21" x14ac:dyDescent="0.25">
      <c r="A3" s="133" t="s">
        <v>42</v>
      </c>
      <c r="B3" s="133" t="s">
        <v>3</v>
      </c>
      <c r="C3" s="133" t="s">
        <v>532</v>
      </c>
      <c r="D3" s="133" t="s">
        <v>533</v>
      </c>
      <c r="E3" s="133" t="s">
        <v>562</v>
      </c>
      <c r="F3" s="133" t="s">
        <v>43</v>
      </c>
      <c r="G3" s="133" t="s">
        <v>296</v>
      </c>
      <c r="H3" s="133" t="s">
        <v>549</v>
      </c>
      <c r="I3" s="133" t="s">
        <v>531</v>
      </c>
      <c r="J3" s="133" t="s">
        <v>554</v>
      </c>
      <c r="M3" s="31" t="s">
        <v>42</v>
      </c>
      <c r="N3" s="31" t="s">
        <v>3</v>
      </c>
      <c r="O3" s="31" t="s">
        <v>2</v>
      </c>
      <c r="P3" s="31" t="s">
        <v>43</v>
      </c>
      <c r="Q3" s="133" t="s">
        <v>296</v>
      </c>
      <c r="T3" s="31" t="s">
        <v>2</v>
      </c>
      <c r="U3" s="31" t="s">
        <v>43</v>
      </c>
    </row>
    <row r="4" spans="1:21" x14ac:dyDescent="0.25">
      <c r="A4">
        <v>1</v>
      </c>
      <c r="B4" t="s">
        <v>308</v>
      </c>
      <c r="C4" t="s">
        <v>534</v>
      </c>
      <c r="D4" t="s">
        <v>413</v>
      </c>
      <c r="E4" t="s">
        <v>6</v>
      </c>
      <c r="F4" s="214">
        <f>SUMIFS('Equity Holdings'!$K$4:$K$82,'Equity Holdings'!$G$4:$G$82,'Networth Inputs'!E4,'Equity Holdings'!$B$4:$B$82,"Personal Stock Holdings Zerodha")</f>
        <v>96365513.639155224</v>
      </c>
      <c r="G4" t="s">
        <v>412</v>
      </c>
      <c r="H4" t="s">
        <v>451</v>
      </c>
      <c r="I4" s="325">
        <v>46112</v>
      </c>
      <c r="J4" t="s">
        <v>563</v>
      </c>
      <c r="M4" s="326">
        <v>1</v>
      </c>
      <c r="N4" s="326" t="s">
        <v>16</v>
      </c>
      <c r="O4" s="326" t="s">
        <v>281</v>
      </c>
      <c r="P4" s="328">
        <v>65000000</v>
      </c>
      <c r="Q4" s="328" t="s">
        <v>412</v>
      </c>
      <c r="T4" s="12" t="s">
        <v>61</v>
      </c>
      <c r="U4" s="18">
        <f>SUM(F4:F123)</f>
        <v>918496585.88299525</v>
      </c>
    </row>
    <row r="5" spans="1:21" x14ac:dyDescent="0.25">
      <c r="A5">
        <f>A4+1</f>
        <v>2</v>
      </c>
      <c r="B5" t="s">
        <v>308</v>
      </c>
      <c r="C5" t="s">
        <v>534</v>
      </c>
      <c r="D5" t="s">
        <v>414</v>
      </c>
      <c r="E5" t="s">
        <v>16</v>
      </c>
      <c r="F5" s="214">
        <f>SUMIFS('Equity Holdings'!$K$4:$K$82,'Equity Holdings'!$G$4:$G$82,'Networth Inputs'!E5,'Equity Holdings'!$B$4:$B$82,"Personal Stock Holdings Zerodha")</f>
        <v>0</v>
      </c>
      <c r="G5" t="s">
        <v>412</v>
      </c>
      <c r="H5" t="s">
        <v>451</v>
      </c>
      <c r="I5" s="325">
        <v>46112</v>
      </c>
      <c r="J5" t="s">
        <v>563</v>
      </c>
      <c r="M5" s="326">
        <v>2</v>
      </c>
      <c r="N5" s="326" t="s">
        <v>16</v>
      </c>
      <c r="O5" s="326" t="s">
        <v>432</v>
      </c>
      <c r="P5" s="327">
        <v>2500000</v>
      </c>
      <c r="Q5" s="328" t="s">
        <v>412</v>
      </c>
      <c r="T5" s="12" t="s">
        <v>62</v>
      </c>
      <c r="U5" s="18">
        <f>SUM(P4:P123)</f>
        <v>67500000</v>
      </c>
    </row>
    <row r="6" spans="1:21" ht="15.75" thickBot="1" x14ac:dyDescent="0.3">
      <c r="A6">
        <f t="shared" ref="A6:A16" si="0">A5+1</f>
        <v>3</v>
      </c>
      <c r="B6" t="s">
        <v>308</v>
      </c>
      <c r="C6" t="s">
        <v>534</v>
      </c>
      <c r="D6" t="s">
        <v>555</v>
      </c>
      <c r="E6" t="s">
        <v>58</v>
      </c>
      <c r="F6" s="214">
        <f>SUMIFS('Equity Holdings'!$K$4:$K$82,'Equity Holdings'!$G$4:$G$82,'Networth Inputs'!E6,'Equity Holdings'!$B$4:$B$82,"Personal Stock Holdings Zerodha")</f>
        <v>6156452</v>
      </c>
      <c r="G6" t="s">
        <v>412</v>
      </c>
      <c r="H6" t="s">
        <v>451</v>
      </c>
      <c r="I6" s="325">
        <v>46112</v>
      </c>
      <c r="J6" t="s">
        <v>563</v>
      </c>
      <c r="M6" s="326"/>
      <c r="N6" s="326"/>
      <c r="O6" s="326"/>
      <c r="P6" s="328"/>
      <c r="Q6" s="328"/>
      <c r="T6" s="19" t="s">
        <v>63</v>
      </c>
      <c r="U6" s="20">
        <f>U4-U5</f>
        <v>850996585.88299525</v>
      </c>
    </row>
    <row r="7" spans="1:21" ht="15.75" thickTop="1" x14ac:dyDescent="0.25">
      <c r="A7">
        <f t="shared" si="0"/>
        <v>4</v>
      </c>
      <c r="B7" t="s">
        <v>308</v>
      </c>
      <c r="C7" t="s">
        <v>534</v>
      </c>
      <c r="D7" t="s">
        <v>556</v>
      </c>
      <c r="E7" t="s">
        <v>6</v>
      </c>
      <c r="F7" s="214">
        <f>SUMIFS('Mutual Funds'!$L$4:$L$92,'Mutual Funds'!$G$4:$G$92,'Networth Inputs'!E7,'Mutual Funds'!$H$4:$H$92,"Personal Mutual Funds Zerodha")</f>
        <v>134013750.26541071</v>
      </c>
      <c r="G7" t="s">
        <v>412</v>
      </c>
      <c r="H7" t="s">
        <v>451</v>
      </c>
      <c r="I7" s="325">
        <v>46112</v>
      </c>
      <c r="J7" t="s">
        <v>563</v>
      </c>
      <c r="K7" s="79"/>
      <c r="L7" s="199"/>
      <c r="M7" s="326"/>
      <c r="N7" s="326"/>
      <c r="O7" s="326"/>
      <c r="P7" s="327"/>
      <c r="Q7" s="327"/>
      <c r="T7" s="12"/>
      <c r="U7" s="93"/>
    </row>
    <row r="8" spans="1:21" x14ac:dyDescent="0.25">
      <c r="A8">
        <f t="shared" si="0"/>
        <v>5</v>
      </c>
      <c r="B8" t="s">
        <v>308</v>
      </c>
      <c r="C8" t="s">
        <v>534</v>
      </c>
      <c r="D8" t="s">
        <v>557</v>
      </c>
      <c r="E8" t="s">
        <v>16</v>
      </c>
      <c r="F8" s="214">
        <f>SUMIFS('Mutual Funds'!$L$4:$L$92,'Mutual Funds'!$G$4:$G$92,'Networth Inputs'!E8,'Mutual Funds'!$H$4:$H$92,"Personal Mutual Funds Zerodha")</f>
        <v>0</v>
      </c>
      <c r="G8" t="s">
        <v>412</v>
      </c>
      <c r="H8" t="s">
        <v>451</v>
      </c>
      <c r="I8" s="325">
        <v>46112</v>
      </c>
      <c r="J8" t="s">
        <v>563</v>
      </c>
      <c r="K8" s="79"/>
    </row>
    <row r="9" spans="1:21" x14ac:dyDescent="0.25">
      <c r="A9">
        <f t="shared" si="0"/>
        <v>6</v>
      </c>
      <c r="B9" t="s">
        <v>308</v>
      </c>
      <c r="C9" t="s">
        <v>534</v>
      </c>
      <c r="D9" t="s">
        <v>78</v>
      </c>
      <c r="E9" t="s">
        <v>78</v>
      </c>
      <c r="F9" s="341">
        <v>1014842.06</v>
      </c>
      <c r="G9" t="s">
        <v>412</v>
      </c>
      <c r="H9" t="s">
        <v>451</v>
      </c>
      <c r="I9" s="325">
        <v>46112</v>
      </c>
      <c r="J9" t="s">
        <v>564</v>
      </c>
      <c r="K9" s="199"/>
    </row>
    <row r="10" spans="1:21" x14ac:dyDescent="0.25">
      <c r="A10">
        <f t="shared" si="0"/>
        <v>7</v>
      </c>
      <c r="B10" t="s">
        <v>308</v>
      </c>
      <c r="C10" t="s">
        <v>534</v>
      </c>
      <c r="D10" t="s">
        <v>558</v>
      </c>
      <c r="E10" t="s">
        <v>78</v>
      </c>
      <c r="F10" s="341">
        <v>0</v>
      </c>
      <c r="G10" t="s">
        <v>412</v>
      </c>
      <c r="H10" t="s">
        <v>451</v>
      </c>
      <c r="I10" s="325">
        <v>46112</v>
      </c>
      <c r="J10" t="s">
        <v>564</v>
      </c>
    </row>
    <row r="12" spans="1:21" x14ac:dyDescent="0.25">
      <c r="A12">
        <f>A10+1</f>
        <v>8</v>
      </c>
      <c r="B12" t="s">
        <v>308</v>
      </c>
      <c r="C12" t="s">
        <v>535</v>
      </c>
      <c r="D12" t="s">
        <v>413</v>
      </c>
      <c r="E12" t="s">
        <v>6</v>
      </c>
      <c r="F12" s="214">
        <f>SUMIFS('Equity Holdings'!$K$4:$K$82,'Equity Holdings'!$G$4:$G$82,'Networth Inputs'!E12,'Equity Holdings'!$B$4:$B$82,"Stock Holdings")</f>
        <v>2663212</v>
      </c>
      <c r="G12" t="s">
        <v>297</v>
      </c>
      <c r="H12" t="s">
        <v>451</v>
      </c>
      <c r="I12" s="325">
        <v>46112</v>
      </c>
      <c r="J12" t="s">
        <v>563</v>
      </c>
    </row>
    <row r="13" spans="1:21" x14ac:dyDescent="0.25">
      <c r="A13">
        <f t="shared" si="0"/>
        <v>9</v>
      </c>
      <c r="B13" t="s">
        <v>308</v>
      </c>
      <c r="C13" t="s">
        <v>535</v>
      </c>
      <c r="D13" t="s">
        <v>414</v>
      </c>
      <c r="E13" t="s">
        <v>16</v>
      </c>
      <c r="F13" s="214">
        <f>SUMIFS('Equity Holdings'!$K$4:$K$82,'Equity Holdings'!$G$4:$G$82,'Networth Inputs'!E13,'Equity Holdings'!$B$4:$B$82,"Stock Holdings")</f>
        <v>0</v>
      </c>
      <c r="G13" t="s">
        <v>297</v>
      </c>
      <c r="H13" t="s">
        <v>451</v>
      </c>
      <c r="I13" s="325">
        <v>46112</v>
      </c>
      <c r="J13" t="s">
        <v>563</v>
      </c>
    </row>
    <row r="14" spans="1:21" x14ac:dyDescent="0.25">
      <c r="A14">
        <f t="shared" si="0"/>
        <v>10</v>
      </c>
      <c r="B14" t="s">
        <v>308</v>
      </c>
      <c r="C14" t="s">
        <v>535</v>
      </c>
      <c r="D14" t="s">
        <v>555</v>
      </c>
      <c r="E14" t="s">
        <v>58</v>
      </c>
      <c r="F14" s="214">
        <f>SUMIFS('Equity Holdings'!$K$4:$K$82,'Equity Holdings'!$G$4:$G$82,'Networth Inputs'!E14,'Equity Holdings'!$B$4:$B$82,"Stock Holdings")</f>
        <v>0</v>
      </c>
      <c r="G14" t="s">
        <v>297</v>
      </c>
      <c r="H14" t="s">
        <v>451</v>
      </c>
      <c r="I14" s="325">
        <v>46112</v>
      </c>
      <c r="J14" t="s">
        <v>563</v>
      </c>
    </row>
    <row r="15" spans="1:21" x14ac:dyDescent="0.25">
      <c r="A15">
        <f t="shared" si="0"/>
        <v>11</v>
      </c>
      <c r="B15" t="s">
        <v>308</v>
      </c>
      <c r="C15" t="s">
        <v>535</v>
      </c>
      <c r="D15" t="s">
        <v>556</v>
      </c>
      <c r="E15" t="s">
        <v>6</v>
      </c>
      <c r="F15" s="214">
        <f>SUMIFS('Mutual Funds'!$L$4:$L$92,'Mutual Funds'!$G$4:$G$92,'Networth Inputs'!E15,'Mutual Funds'!$H$4:$H$92,"Mutual Funds")</f>
        <v>0</v>
      </c>
      <c r="G15" t="s">
        <v>297</v>
      </c>
      <c r="H15" t="s">
        <v>451</v>
      </c>
      <c r="I15" s="325">
        <v>46112</v>
      </c>
      <c r="J15" t="s">
        <v>563</v>
      </c>
    </row>
    <row r="16" spans="1:21" x14ac:dyDescent="0.25">
      <c r="A16">
        <f t="shared" si="0"/>
        <v>12</v>
      </c>
      <c r="B16" t="s">
        <v>308</v>
      </c>
      <c r="C16" t="s">
        <v>535</v>
      </c>
      <c r="D16" t="s">
        <v>557</v>
      </c>
      <c r="E16" t="s">
        <v>16</v>
      </c>
      <c r="F16" s="214">
        <f>SUMIFS('Mutual Funds'!$L$4:$L$92,'Mutual Funds'!$G$4:$G$92,'Networth Inputs'!E16,'Mutual Funds'!$H$4:$H$92,"Mutual Funds")</f>
        <v>112725815.1614292</v>
      </c>
      <c r="G16" t="s">
        <v>297</v>
      </c>
      <c r="H16" t="s">
        <v>451</v>
      </c>
      <c r="I16" s="325">
        <v>46112</v>
      </c>
      <c r="J16" t="s">
        <v>563</v>
      </c>
    </row>
    <row r="17" spans="1:12" x14ac:dyDescent="0.25">
      <c r="A17">
        <f t="shared" ref="A17:A18" si="1">A16+1</f>
        <v>13</v>
      </c>
      <c r="B17" t="s">
        <v>308</v>
      </c>
      <c r="C17" t="s">
        <v>535</v>
      </c>
      <c r="D17" t="s">
        <v>78</v>
      </c>
      <c r="E17" t="s">
        <v>78</v>
      </c>
      <c r="F17" s="341">
        <f>75890878.49</f>
        <v>75890878.489999995</v>
      </c>
      <c r="G17" t="s">
        <v>297</v>
      </c>
      <c r="H17" t="s">
        <v>451</v>
      </c>
      <c r="I17" s="325">
        <v>46112</v>
      </c>
      <c r="J17" t="s">
        <v>564</v>
      </c>
    </row>
    <row r="18" spans="1:12" x14ac:dyDescent="0.25">
      <c r="A18">
        <f t="shared" si="1"/>
        <v>14</v>
      </c>
      <c r="B18" t="s">
        <v>308</v>
      </c>
      <c r="C18" t="s">
        <v>535</v>
      </c>
      <c r="D18" t="s">
        <v>558</v>
      </c>
      <c r="E18" t="s">
        <v>78</v>
      </c>
      <c r="F18" s="341">
        <v>201357611</v>
      </c>
      <c r="G18" t="s">
        <v>297</v>
      </c>
      <c r="H18" t="s">
        <v>451</v>
      </c>
      <c r="I18" s="325">
        <v>46112</v>
      </c>
      <c r="J18" t="s">
        <v>564</v>
      </c>
    </row>
    <row r="20" spans="1:12" x14ac:dyDescent="0.25">
      <c r="A20">
        <f>A18+1</f>
        <v>15</v>
      </c>
      <c r="B20" t="s">
        <v>536</v>
      </c>
      <c r="C20" t="s">
        <v>545</v>
      </c>
      <c r="D20" t="s">
        <v>546</v>
      </c>
      <c r="E20" t="s">
        <v>16</v>
      </c>
      <c r="F20" s="206">
        <v>31500000</v>
      </c>
      <c r="G20" t="s">
        <v>297</v>
      </c>
      <c r="H20" t="s">
        <v>451</v>
      </c>
      <c r="I20" s="325">
        <v>46112</v>
      </c>
      <c r="J20" t="s">
        <v>564</v>
      </c>
    </row>
    <row r="21" spans="1:12" x14ac:dyDescent="0.25">
      <c r="A21">
        <f>A20+1</f>
        <v>16</v>
      </c>
      <c r="B21" t="s">
        <v>536</v>
      </c>
      <c r="C21" t="s">
        <v>545</v>
      </c>
      <c r="D21" t="s">
        <v>547</v>
      </c>
      <c r="E21" t="s">
        <v>16</v>
      </c>
      <c r="F21" s="206">
        <v>35000000</v>
      </c>
      <c r="G21" t="s">
        <v>412</v>
      </c>
      <c r="H21" t="s">
        <v>450</v>
      </c>
      <c r="I21" s="325">
        <v>46112</v>
      </c>
      <c r="J21" t="s">
        <v>564</v>
      </c>
    </row>
    <row r="22" spans="1:12" x14ac:dyDescent="0.25">
      <c r="A22">
        <f t="shared" ref="A22:A47" si="2">A21+1</f>
        <v>17</v>
      </c>
      <c r="B22" t="s">
        <v>536</v>
      </c>
      <c r="C22" t="s">
        <v>545</v>
      </c>
      <c r="D22" t="s">
        <v>548</v>
      </c>
      <c r="E22" t="s">
        <v>16</v>
      </c>
      <c r="F22" s="206">
        <v>0</v>
      </c>
      <c r="G22" t="s">
        <v>412</v>
      </c>
      <c r="H22" t="s">
        <v>450</v>
      </c>
      <c r="I22" s="325">
        <v>46112</v>
      </c>
      <c r="J22" t="s">
        <v>564</v>
      </c>
    </row>
    <row r="23" spans="1:12" x14ac:dyDescent="0.25">
      <c r="A23">
        <f t="shared" si="2"/>
        <v>18</v>
      </c>
      <c r="B23" t="s">
        <v>536</v>
      </c>
      <c r="C23" t="s">
        <v>559</v>
      </c>
      <c r="D23" t="s">
        <v>537</v>
      </c>
      <c r="E23" t="s">
        <v>16</v>
      </c>
      <c r="F23" s="206">
        <v>10200000</v>
      </c>
      <c r="G23" t="s">
        <v>412</v>
      </c>
      <c r="H23" t="s">
        <v>450</v>
      </c>
      <c r="I23" s="325">
        <v>46112</v>
      </c>
      <c r="J23" t="s">
        <v>564</v>
      </c>
    </row>
    <row r="24" spans="1:12" x14ac:dyDescent="0.25">
      <c r="A24">
        <f t="shared" si="2"/>
        <v>19</v>
      </c>
      <c r="B24" t="s">
        <v>536</v>
      </c>
      <c r="C24" t="s">
        <v>559</v>
      </c>
      <c r="D24" t="s">
        <v>538</v>
      </c>
      <c r="E24" t="s">
        <v>16</v>
      </c>
      <c r="F24" s="206">
        <f>34978573.9+251926.56</f>
        <v>35230500.460000001</v>
      </c>
      <c r="G24" t="s">
        <v>412</v>
      </c>
      <c r="H24" t="s">
        <v>450</v>
      </c>
      <c r="I24" s="325">
        <v>46112</v>
      </c>
      <c r="J24" t="s">
        <v>564</v>
      </c>
    </row>
    <row r="25" spans="1:12" x14ac:dyDescent="0.25">
      <c r="A25">
        <f t="shared" si="2"/>
        <v>20</v>
      </c>
      <c r="B25" t="s">
        <v>536</v>
      </c>
      <c r="C25" t="s">
        <v>438</v>
      </c>
      <c r="D25" t="s">
        <v>539</v>
      </c>
      <c r="E25" t="s">
        <v>16</v>
      </c>
      <c r="F25" s="206">
        <v>2625000</v>
      </c>
      <c r="G25" t="s">
        <v>412</v>
      </c>
      <c r="H25" t="s">
        <v>450</v>
      </c>
      <c r="I25" s="325">
        <v>46112</v>
      </c>
      <c r="J25" t="s">
        <v>564</v>
      </c>
      <c r="L25" s="79"/>
    </row>
    <row r="26" spans="1:12" x14ac:dyDescent="0.25">
      <c r="A26">
        <f t="shared" si="2"/>
        <v>21</v>
      </c>
      <c r="B26" t="s">
        <v>536</v>
      </c>
      <c r="C26" t="s">
        <v>438</v>
      </c>
      <c r="D26" t="s">
        <v>540</v>
      </c>
      <c r="E26" t="s">
        <v>16</v>
      </c>
      <c r="F26" s="206">
        <f>13482336.48+6.3%*(-68598797)</f>
        <v>9160612.2690000013</v>
      </c>
      <c r="G26" t="s">
        <v>412</v>
      </c>
      <c r="H26" t="s">
        <v>451</v>
      </c>
      <c r="I26" s="325">
        <v>46112</v>
      </c>
      <c r="J26" t="s">
        <v>564</v>
      </c>
      <c r="K26" s="79"/>
    </row>
    <row r="27" spans="1:12" x14ac:dyDescent="0.25">
      <c r="A27">
        <f t="shared" si="2"/>
        <v>22</v>
      </c>
      <c r="B27" t="s">
        <v>536</v>
      </c>
      <c r="C27" t="s">
        <v>260</v>
      </c>
      <c r="D27" t="s">
        <v>541</v>
      </c>
      <c r="E27" t="s">
        <v>16</v>
      </c>
      <c r="F27" s="206">
        <v>0</v>
      </c>
      <c r="G27" t="s">
        <v>412</v>
      </c>
      <c r="H27" t="s">
        <v>451</v>
      </c>
      <c r="I27" s="325">
        <v>46112</v>
      </c>
      <c r="J27" t="s">
        <v>564</v>
      </c>
    </row>
    <row r="28" spans="1:12" x14ac:dyDescent="0.25">
      <c r="A28">
        <f t="shared" si="2"/>
        <v>23</v>
      </c>
      <c r="B28" t="s">
        <v>536</v>
      </c>
      <c r="C28" t="s">
        <v>260</v>
      </c>
      <c r="D28" t="s">
        <v>542</v>
      </c>
      <c r="E28" t="s">
        <v>16</v>
      </c>
      <c r="F28" s="206">
        <f>5906672.74+-1197579</f>
        <v>4709093.74</v>
      </c>
      <c r="G28" t="s">
        <v>412</v>
      </c>
      <c r="H28" t="s">
        <v>451</v>
      </c>
      <c r="I28" s="325">
        <v>46108</v>
      </c>
      <c r="J28" t="s">
        <v>564</v>
      </c>
    </row>
    <row r="29" spans="1:12" x14ac:dyDescent="0.25">
      <c r="A29">
        <f t="shared" si="2"/>
        <v>24</v>
      </c>
      <c r="B29" t="s">
        <v>536</v>
      </c>
      <c r="C29" t="s">
        <v>276</v>
      </c>
      <c r="D29" t="s">
        <v>543</v>
      </c>
      <c r="E29" t="s">
        <v>16</v>
      </c>
      <c r="F29" s="206">
        <v>0</v>
      </c>
      <c r="G29" t="s">
        <v>412</v>
      </c>
      <c r="H29" t="s">
        <v>451</v>
      </c>
      <c r="I29" s="325">
        <v>46112</v>
      </c>
      <c r="J29" t="s">
        <v>564</v>
      </c>
    </row>
    <row r="30" spans="1:12" x14ac:dyDescent="0.25">
      <c r="A30">
        <f t="shared" si="2"/>
        <v>25</v>
      </c>
      <c r="B30" t="s">
        <v>536</v>
      </c>
      <c r="C30" t="s">
        <v>276</v>
      </c>
      <c r="D30" t="s">
        <v>544</v>
      </c>
      <c r="E30" t="s">
        <v>16</v>
      </c>
      <c r="F30" s="206">
        <f>746770.22+1108983.82+2872822.57+6375938*30%*35%</f>
        <v>5398050.0999999996</v>
      </c>
      <c r="G30" t="s">
        <v>412</v>
      </c>
      <c r="H30" t="s">
        <v>451</v>
      </c>
      <c r="I30" s="325">
        <v>46112</v>
      </c>
      <c r="J30" t="s">
        <v>564</v>
      </c>
      <c r="K30" s="79"/>
    </row>
    <row r="31" spans="1:12" x14ac:dyDescent="0.25">
      <c r="A31">
        <f t="shared" si="2"/>
        <v>26</v>
      </c>
      <c r="B31" t="s">
        <v>536</v>
      </c>
      <c r="C31" t="s">
        <v>560</v>
      </c>
      <c r="D31" t="s">
        <v>550</v>
      </c>
      <c r="E31" t="s">
        <v>16</v>
      </c>
      <c r="F31" s="206">
        <v>0</v>
      </c>
      <c r="G31" t="s">
        <v>412</v>
      </c>
      <c r="H31" t="s">
        <v>451</v>
      </c>
      <c r="I31" s="325">
        <v>46112</v>
      </c>
      <c r="J31" t="s">
        <v>564</v>
      </c>
    </row>
    <row r="32" spans="1:12" x14ac:dyDescent="0.25">
      <c r="A32">
        <f t="shared" si="2"/>
        <v>27</v>
      </c>
      <c r="B32" t="s">
        <v>536</v>
      </c>
      <c r="C32" t="s">
        <v>560</v>
      </c>
      <c r="D32" t="s">
        <v>551</v>
      </c>
      <c r="E32" t="s">
        <v>16</v>
      </c>
      <c r="F32" s="206">
        <f>393914.3+-20567.7+(81218+90278)*20%*35%</f>
        <v>385351.31999999995</v>
      </c>
      <c r="G32" t="s">
        <v>412</v>
      </c>
      <c r="H32" t="s">
        <v>451</v>
      </c>
      <c r="I32" s="325">
        <v>46112</v>
      </c>
      <c r="J32" t="s">
        <v>564</v>
      </c>
    </row>
    <row r="33" spans="1:10" x14ac:dyDescent="0.25">
      <c r="A33">
        <f t="shared" si="2"/>
        <v>28</v>
      </c>
      <c r="B33" t="s">
        <v>536</v>
      </c>
      <c r="C33" t="s">
        <v>138</v>
      </c>
      <c r="D33" t="s">
        <v>219</v>
      </c>
      <c r="E33" t="s">
        <v>16</v>
      </c>
      <c r="F33" s="206">
        <v>2500000</v>
      </c>
      <c r="G33" t="s">
        <v>412</v>
      </c>
      <c r="H33" t="s">
        <v>451</v>
      </c>
      <c r="I33" s="325">
        <v>46112</v>
      </c>
      <c r="J33" t="s">
        <v>564</v>
      </c>
    </row>
    <row r="34" spans="1:10" x14ac:dyDescent="0.25">
      <c r="A34">
        <f t="shared" si="2"/>
        <v>29</v>
      </c>
      <c r="B34" t="s">
        <v>536</v>
      </c>
      <c r="C34" t="s">
        <v>138</v>
      </c>
      <c r="D34" t="s">
        <v>561</v>
      </c>
      <c r="E34" t="s">
        <v>16</v>
      </c>
      <c r="F34" s="206">
        <f>-2499611.53+(22991024.73-6966176.5)*60%</f>
        <v>7115297.4079999998</v>
      </c>
      <c r="G34" t="s">
        <v>412</v>
      </c>
      <c r="H34" t="s">
        <v>450</v>
      </c>
      <c r="I34" s="325">
        <v>46112</v>
      </c>
      <c r="J34" t="s">
        <v>564</v>
      </c>
    </row>
    <row r="35" spans="1:10" x14ac:dyDescent="0.25">
      <c r="A35">
        <f t="shared" si="2"/>
        <v>30</v>
      </c>
      <c r="B35" t="s">
        <v>536</v>
      </c>
      <c r="C35" t="s">
        <v>578</v>
      </c>
      <c r="D35" t="s">
        <v>219</v>
      </c>
      <c r="E35" t="s">
        <v>16</v>
      </c>
      <c r="F35" s="206">
        <v>10000000</v>
      </c>
      <c r="G35" t="s">
        <v>412</v>
      </c>
      <c r="H35" t="s">
        <v>450</v>
      </c>
      <c r="I35" s="325">
        <v>46112</v>
      </c>
      <c r="J35" t="s">
        <v>564</v>
      </c>
    </row>
    <row r="36" spans="1:10" x14ac:dyDescent="0.25">
      <c r="A36">
        <f t="shared" si="2"/>
        <v>31</v>
      </c>
      <c r="B36" t="s">
        <v>536</v>
      </c>
      <c r="C36" t="s">
        <v>578</v>
      </c>
      <c r="D36" t="s">
        <v>561</v>
      </c>
      <c r="E36" t="s">
        <v>16</v>
      </c>
      <c r="F36" s="206">
        <v>0</v>
      </c>
      <c r="G36" t="s">
        <v>412</v>
      </c>
      <c r="H36" t="s">
        <v>450</v>
      </c>
      <c r="I36" s="325">
        <v>46112</v>
      </c>
      <c r="J36" t="s">
        <v>564</v>
      </c>
    </row>
    <row r="37" spans="1:10" x14ac:dyDescent="0.25">
      <c r="A37">
        <f t="shared" si="2"/>
        <v>32</v>
      </c>
      <c r="B37" t="s">
        <v>536</v>
      </c>
      <c r="C37" t="s">
        <v>579</v>
      </c>
      <c r="D37" t="s">
        <v>561</v>
      </c>
      <c r="E37" t="s">
        <v>16</v>
      </c>
      <c r="F37" s="206">
        <v>17236946</v>
      </c>
      <c r="G37" t="s">
        <v>412</v>
      </c>
      <c r="H37" t="s">
        <v>450</v>
      </c>
      <c r="I37" s="325">
        <v>46112</v>
      </c>
      <c r="J37" t="s">
        <v>564</v>
      </c>
    </row>
    <row r="38" spans="1:10" x14ac:dyDescent="0.25">
      <c r="D38" s="323"/>
    </row>
    <row r="39" spans="1:10" x14ac:dyDescent="0.25">
      <c r="A39">
        <f>A37+1</f>
        <v>33</v>
      </c>
      <c r="B39" t="s">
        <v>65</v>
      </c>
      <c r="C39" t="s">
        <v>44</v>
      </c>
      <c r="D39" t="s">
        <v>44</v>
      </c>
      <c r="E39" t="s">
        <v>6</v>
      </c>
      <c r="F39" s="206">
        <v>15014887</v>
      </c>
      <c r="G39" t="s">
        <v>412</v>
      </c>
      <c r="H39" t="s">
        <v>451</v>
      </c>
      <c r="I39" s="325">
        <v>46112</v>
      </c>
      <c r="J39" t="s">
        <v>564</v>
      </c>
    </row>
    <row r="40" spans="1:10" x14ac:dyDescent="0.25">
      <c r="A40">
        <f t="shared" si="2"/>
        <v>34</v>
      </c>
      <c r="B40" t="s">
        <v>65</v>
      </c>
      <c r="C40" t="s">
        <v>581</v>
      </c>
      <c r="D40" t="s">
        <v>585</v>
      </c>
      <c r="E40" t="s">
        <v>6</v>
      </c>
      <c r="F40" s="206">
        <v>10279399.68</v>
      </c>
      <c r="G40" t="s">
        <v>412</v>
      </c>
      <c r="H40" t="s">
        <v>451</v>
      </c>
      <c r="I40" s="325">
        <v>46112</v>
      </c>
      <c r="J40" t="s">
        <v>564</v>
      </c>
    </row>
    <row r="41" spans="1:10" x14ac:dyDescent="0.25">
      <c r="A41">
        <f t="shared" si="2"/>
        <v>35</v>
      </c>
      <c r="B41" t="s">
        <v>65</v>
      </c>
      <c r="C41" t="s">
        <v>581</v>
      </c>
      <c r="D41" t="s">
        <v>586</v>
      </c>
      <c r="E41" t="s">
        <v>6</v>
      </c>
      <c r="F41" s="206">
        <v>5349685.3899999997</v>
      </c>
      <c r="G41" t="s">
        <v>412</v>
      </c>
      <c r="H41" t="s">
        <v>451</v>
      </c>
      <c r="I41" s="325">
        <v>46112</v>
      </c>
      <c r="J41" t="s">
        <v>564</v>
      </c>
    </row>
    <row r="42" spans="1:10" x14ac:dyDescent="0.25">
      <c r="A42">
        <f t="shared" si="2"/>
        <v>36</v>
      </c>
      <c r="B42" t="s">
        <v>65</v>
      </c>
      <c r="C42" t="s">
        <v>581</v>
      </c>
      <c r="D42" t="s">
        <v>583</v>
      </c>
      <c r="E42" t="s">
        <v>6</v>
      </c>
      <c r="F42" s="206">
        <v>23981287.850000001</v>
      </c>
      <c r="G42" t="s">
        <v>412</v>
      </c>
      <c r="H42" t="s">
        <v>451</v>
      </c>
      <c r="I42" s="325">
        <v>46112</v>
      </c>
      <c r="J42" t="s">
        <v>564</v>
      </c>
    </row>
    <row r="43" spans="1:10" x14ac:dyDescent="0.25">
      <c r="A43">
        <f t="shared" si="2"/>
        <v>37</v>
      </c>
      <c r="B43" t="s">
        <v>65</v>
      </c>
      <c r="C43" t="s">
        <v>47</v>
      </c>
      <c r="D43" t="s">
        <v>47</v>
      </c>
      <c r="E43" t="s">
        <v>16</v>
      </c>
      <c r="F43" s="206">
        <v>3000000</v>
      </c>
      <c r="G43" t="s">
        <v>412</v>
      </c>
      <c r="H43" t="s">
        <v>451</v>
      </c>
      <c r="I43" s="325">
        <v>46112</v>
      </c>
      <c r="J43" t="s">
        <v>564</v>
      </c>
    </row>
    <row r="44" spans="1:10" x14ac:dyDescent="0.25">
      <c r="A44">
        <f t="shared" si="2"/>
        <v>38</v>
      </c>
      <c r="B44" t="s">
        <v>65</v>
      </c>
      <c r="C44" t="s">
        <v>582</v>
      </c>
      <c r="D44" t="s">
        <v>584</v>
      </c>
      <c r="E44" t="s">
        <v>6</v>
      </c>
      <c r="F44" s="206">
        <v>5687110</v>
      </c>
      <c r="G44" t="s">
        <v>412</v>
      </c>
      <c r="H44" t="s">
        <v>451</v>
      </c>
      <c r="I44" s="325">
        <v>46112</v>
      </c>
      <c r="J44" t="s">
        <v>564</v>
      </c>
    </row>
    <row r="45" spans="1:10" x14ac:dyDescent="0.25">
      <c r="A45">
        <f t="shared" si="2"/>
        <v>39</v>
      </c>
      <c r="B45" t="s">
        <v>65</v>
      </c>
      <c r="C45" t="s">
        <v>77</v>
      </c>
      <c r="D45" t="s">
        <v>77</v>
      </c>
      <c r="E45" t="s">
        <v>16</v>
      </c>
      <c r="F45" s="206">
        <v>5881036</v>
      </c>
      <c r="G45" t="s">
        <v>412</v>
      </c>
      <c r="H45" t="s">
        <v>451</v>
      </c>
      <c r="I45" s="325">
        <v>46112</v>
      </c>
      <c r="J45" t="s">
        <v>564</v>
      </c>
    </row>
    <row r="46" spans="1:10" x14ac:dyDescent="0.25">
      <c r="A46">
        <f t="shared" si="2"/>
        <v>40</v>
      </c>
      <c r="B46" t="s">
        <v>65</v>
      </c>
      <c r="C46" t="s">
        <v>448</v>
      </c>
      <c r="D46" t="s">
        <v>448</v>
      </c>
      <c r="E46" t="s">
        <v>6</v>
      </c>
      <c r="F46" s="206">
        <v>0</v>
      </c>
      <c r="G46" t="s">
        <v>412</v>
      </c>
      <c r="H46" t="s">
        <v>451</v>
      </c>
      <c r="I46" s="325">
        <v>46112</v>
      </c>
      <c r="J46" t="s">
        <v>564</v>
      </c>
    </row>
    <row r="47" spans="1:10" x14ac:dyDescent="0.25">
      <c r="A47">
        <f t="shared" si="2"/>
        <v>41</v>
      </c>
      <c r="B47" t="s">
        <v>65</v>
      </c>
      <c r="C47" t="s">
        <v>449</v>
      </c>
      <c r="D47" t="s">
        <v>449</v>
      </c>
      <c r="E47" t="s">
        <v>6</v>
      </c>
      <c r="F47" s="206">
        <v>11699620</v>
      </c>
      <c r="G47" t="s">
        <v>412</v>
      </c>
      <c r="H47" t="s">
        <v>451</v>
      </c>
      <c r="I47" s="325">
        <v>46112</v>
      </c>
      <c r="J47" t="s">
        <v>564</v>
      </c>
    </row>
    <row r="49" spans="1:10" x14ac:dyDescent="0.25">
      <c r="A49">
        <f>A47+1</f>
        <v>42</v>
      </c>
      <c r="B49" t="s">
        <v>67</v>
      </c>
      <c r="C49" t="s">
        <v>552</v>
      </c>
      <c r="D49" t="s">
        <v>52</v>
      </c>
      <c r="E49" t="s">
        <v>78</v>
      </c>
      <c r="F49" s="206">
        <f>898983.05+5000000</f>
        <v>5898983.0499999998</v>
      </c>
      <c r="G49" t="s">
        <v>412</v>
      </c>
      <c r="H49" t="s">
        <v>451</v>
      </c>
      <c r="I49" s="325">
        <v>46112</v>
      </c>
      <c r="J49" t="s">
        <v>564</v>
      </c>
    </row>
    <row r="50" spans="1:10" x14ac:dyDescent="0.25">
      <c r="A50">
        <f>A49+1</f>
        <v>43</v>
      </c>
      <c r="B50" t="s">
        <v>67</v>
      </c>
      <c r="C50" t="s">
        <v>552</v>
      </c>
      <c r="D50" t="s">
        <v>53</v>
      </c>
      <c r="E50" t="s">
        <v>78</v>
      </c>
      <c r="F50" s="206">
        <v>1857193</v>
      </c>
      <c r="G50" t="s">
        <v>297</v>
      </c>
      <c r="H50" t="s">
        <v>451</v>
      </c>
      <c r="I50" s="325">
        <v>46112</v>
      </c>
      <c r="J50" t="s">
        <v>564</v>
      </c>
    </row>
    <row r="51" spans="1:10" x14ac:dyDescent="0.25">
      <c r="A51">
        <f t="shared" ref="A51:A55" si="3">A50+1</f>
        <v>44</v>
      </c>
      <c r="B51" t="s">
        <v>67</v>
      </c>
      <c r="C51" t="s">
        <v>67</v>
      </c>
      <c r="D51" t="s">
        <v>67</v>
      </c>
      <c r="E51" t="s">
        <v>16</v>
      </c>
      <c r="F51" s="206">
        <v>23500000</v>
      </c>
      <c r="G51" t="s">
        <v>412</v>
      </c>
      <c r="H51" t="s">
        <v>450</v>
      </c>
      <c r="I51" s="325">
        <v>46112</v>
      </c>
      <c r="J51" t="s">
        <v>564</v>
      </c>
    </row>
    <row r="52" spans="1:10" x14ac:dyDescent="0.25">
      <c r="A52">
        <f t="shared" si="3"/>
        <v>45</v>
      </c>
      <c r="B52" t="s">
        <v>67</v>
      </c>
      <c r="C52" t="s">
        <v>553</v>
      </c>
      <c r="D52" t="s">
        <v>281</v>
      </c>
      <c r="E52" t="s">
        <v>16</v>
      </c>
      <c r="F52" s="206">
        <v>898458</v>
      </c>
      <c r="G52" t="s">
        <v>412</v>
      </c>
      <c r="H52" t="s">
        <v>451</v>
      </c>
      <c r="I52" s="325">
        <v>46112</v>
      </c>
      <c r="J52" t="s">
        <v>564</v>
      </c>
    </row>
    <row r="53" spans="1:10" x14ac:dyDescent="0.25">
      <c r="A53">
        <f t="shared" si="3"/>
        <v>46</v>
      </c>
      <c r="B53" t="s">
        <v>67</v>
      </c>
      <c r="C53" t="s">
        <v>67</v>
      </c>
      <c r="D53" t="s">
        <v>439</v>
      </c>
      <c r="E53" t="s">
        <v>16</v>
      </c>
      <c r="F53" s="206">
        <v>1000000</v>
      </c>
      <c r="G53" t="s">
        <v>297</v>
      </c>
      <c r="H53" t="s">
        <v>451</v>
      </c>
      <c r="I53" s="325">
        <v>46112</v>
      </c>
      <c r="J53" t="s">
        <v>564</v>
      </c>
    </row>
    <row r="54" spans="1:10" x14ac:dyDescent="0.25">
      <c r="A54">
        <f t="shared" si="3"/>
        <v>47</v>
      </c>
      <c r="B54" t="s">
        <v>67</v>
      </c>
      <c r="C54" t="s">
        <v>67</v>
      </c>
      <c r="D54" t="s">
        <v>443</v>
      </c>
      <c r="E54" t="s">
        <v>16</v>
      </c>
      <c r="F54" s="206">
        <v>700000</v>
      </c>
      <c r="G54" t="s">
        <v>412</v>
      </c>
      <c r="H54" t="s">
        <v>450</v>
      </c>
      <c r="I54" s="325">
        <v>46112</v>
      </c>
      <c r="J54" t="s">
        <v>564</v>
      </c>
    </row>
    <row r="55" spans="1:10" x14ac:dyDescent="0.25">
      <c r="A55">
        <f t="shared" si="3"/>
        <v>48</v>
      </c>
      <c r="B55" t="s">
        <v>67</v>
      </c>
      <c r="C55" t="s">
        <v>67</v>
      </c>
      <c r="D55" t="s">
        <v>471</v>
      </c>
      <c r="E55" t="s">
        <v>16</v>
      </c>
      <c r="F55" s="206">
        <v>2500000</v>
      </c>
      <c r="G55" t="s">
        <v>412</v>
      </c>
      <c r="H55" t="s">
        <v>450</v>
      </c>
      <c r="I55" s="325">
        <v>46112</v>
      </c>
      <c r="J55" t="s">
        <v>564</v>
      </c>
    </row>
    <row r="56" spans="1:10" x14ac:dyDescent="0.25">
      <c r="F56" s="206"/>
      <c r="I56" s="325"/>
    </row>
  </sheetData>
  <autoFilter ref="A3:J56" xr:uid="{00000000-0009-0000-0000-000007000000}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D49"/>
  <sheetViews>
    <sheetView showGridLines="0" tabSelected="1" topLeftCell="S1" workbookViewId="0">
      <selection activeCell="AC6" sqref="AC6"/>
    </sheetView>
  </sheetViews>
  <sheetFormatPr defaultColWidth="9.140625" defaultRowHeight="15" x14ac:dyDescent="0.25"/>
  <cols>
    <col min="1" max="1" width="15.42578125" style="3" bestFit="1" customWidth="1"/>
    <col min="2" max="2" width="32.7109375" style="3" bestFit="1" customWidth="1"/>
    <col min="3" max="3" width="17.28515625" style="3" bestFit="1" customWidth="1"/>
    <col min="4" max="4" width="18.42578125" style="3" bestFit="1" customWidth="1"/>
    <col min="5" max="8" width="18.42578125" style="3" customWidth="1"/>
    <col min="9" max="9" width="9.140625" style="3"/>
    <col min="10" max="10" width="6.85546875" style="3" bestFit="1" customWidth="1"/>
    <col min="11" max="11" width="30.42578125" style="3" bestFit="1" customWidth="1"/>
    <col min="12" max="12" width="8" style="3" bestFit="1" customWidth="1"/>
    <col min="13" max="13" width="13.28515625" style="3" bestFit="1" customWidth="1"/>
    <col min="14" max="15" width="9.140625" style="3"/>
    <col min="16" max="16" width="6.85546875" style="3" bestFit="1" customWidth="1"/>
    <col min="17" max="17" width="46.85546875" style="3" bestFit="1" customWidth="1"/>
    <col min="18" max="18" width="28.42578125" style="3" bestFit="1" customWidth="1"/>
    <col min="19" max="19" width="33.42578125" style="3" customWidth="1"/>
    <col min="20" max="20" width="35.85546875" style="3" bestFit="1" customWidth="1"/>
    <col min="21" max="21" width="18.7109375" style="3" bestFit="1" customWidth="1"/>
    <col min="22" max="22" width="18" style="3" bestFit="1" customWidth="1"/>
    <col min="23" max="23" width="18" style="3" customWidth="1"/>
    <col min="24" max="24" width="9.28515625" style="3" bestFit="1" customWidth="1"/>
    <col min="25" max="25" width="16.7109375" style="3" bestFit="1" customWidth="1"/>
    <col min="26" max="26" width="35.85546875" style="3" bestFit="1" customWidth="1"/>
    <col min="27" max="27" width="17.28515625" style="3" bestFit="1" customWidth="1"/>
    <col min="28" max="28" width="9.140625" style="3"/>
    <col min="29" max="29" width="35.85546875" style="3" bestFit="1" customWidth="1"/>
    <col min="30" max="30" width="15.42578125" style="3" bestFit="1" customWidth="1"/>
    <col min="31" max="16384" width="9.140625" style="3"/>
  </cols>
  <sheetData>
    <row r="1" spans="1:30" x14ac:dyDescent="0.25">
      <c r="A1" s="126" t="s">
        <v>149</v>
      </c>
      <c r="B1" s="126"/>
      <c r="C1" s="126"/>
      <c r="J1" s="126" t="s">
        <v>150</v>
      </c>
      <c r="K1" s="126"/>
      <c r="L1" s="126"/>
      <c r="P1" s="126" t="s">
        <v>151</v>
      </c>
      <c r="Q1" s="126"/>
      <c r="R1" s="126"/>
      <c r="S1" s="126"/>
      <c r="T1" s="126"/>
      <c r="U1" s="126"/>
      <c r="V1" s="126"/>
      <c r="W1" s="126"/>
      <c r="Z1" s="126" t="s">
        <v>297</v>
      </c>
      <c r="AA1" s="126"/>
      <c r="AC1" s="126" t="s">
        <v>412</v>
      </c>
      <c r="AD1" s="126"/>
    </row>
    <row r="2" spans="1:30" x14ac:dyDescent="0.25">
      <c r="X2" s="36"/>
      <c r="Z2" s="333" t="s">
        <v>587</v>
      </c>
      <c r="AA2" s="343">
        <f>U5</f>
        <v>277248489.49000001</v>
      </c>
      <c r="AC2" s="333" t="s">
        <v>596</v>
      </c>
      <c r="AD2" s="4">
        <f>'Networth Inputs'!F9+'Networth Inputs'!F10</f>
        <v>1014842.06</v>
      </c>
    </row>
    <row r="3" spans="1:30" x14ac:dyDescent="0.25">
      <c r="A3" s="85" t="s">
        <v>42</v>
      </c>
      <c r="B3" s="85" t="s">
        <v>2</v>
      </c>
      <c r="C3" s="85" t="s">
        <v>43</v>
      </c>
      <c r="E3" s="85" t="s">
        <v>42</v>
      </c>
      <c r="F3" s="85" t="s">
        <v>2</v>
      </c>
      <c r="G3" s="85" t="s">
        <v>43</v>
      </c>
      <c r="H3" s="243"/>
      <c r="J3" s="85" t="s">
        <v>42</v>
      </c>
      <c r="K3" s="85" t="s">
        <v>2</v>
      </c>
      <c r="L3" s="85" t="s">
        <v>152</v>
      </c>
      <c r="P3" s="85" t="s">
        <v>42</v>
      </c>
      <c r="Q3" s="85" t="s">
        <v>153</v>
      </c>
      <c r="R3" s="85" t="s">
        <v>154</v>
      </c>
      <c r="S3" s="85" t="s">
        <v>155</v>
      </c>
      <c r="T3" s="85" t="s">
        <v>600</v>
      </c>
      <c r="U3" s="85" t="s">
        <v>157</v>
      </c>
      <c r="V3" s="85" t="s">
        <v>158</v>
      </c>
      <c r="W3" s="85" t="s">
        <v>573</v>
      </c>
      <c r="Z3" s="92" t="s">
        <v>588</v>
      </c>
      <c r="AA3" s="4">
        <f>-R7/0.9</f>
        <v>20707981.029624294</v>
      </c>
      <c r="AC3" s="333" t="s">
        <v>552</v>
      </c>
      <c r="AD3" s="29">
        <v>5000000</v>
      </c>
    </row>
    <row r="4" spans="1:30" x14ac:dyDescent="0.25">
      <c r="A4" s="38">
        <v>1</v>
      </c>
      <c r="B4" s="74" t="s">
        <v>534</v>
      </c>
      <c r="C4" s="4">
        <f>SUM('Networth Inputs'!F4:F10)</f>
        <v>237550557.96456593</v>
      </c>
      <c r="E4" s="3">
        <v>1</v>
      </c>
      <c r="F4" s="333" t="s">
        <v>566</v>
      </c>
      <c r="G4" s="29">
        <f>21*100*147666</f>
        <v>310098600</v>
      </c>
      <c r="H4" s="4"/>
      <c r="J4" s="38">
        <v>1</v>
      </c>
      <c r="K4" s="3" t="s">
        <v>159</v>
      </c>
      <c r="L4" s="39">
        <v>1.4999999999999999E-2</v>
      </c>
      <c r="P4" s="40"/>
      <c r="Q4" s="41"/>
      <c r="R4" s="41"/>
      <c r="S4" s="41"/>
      <c r="T4" s="41"/>
      <c r="U4" s="41"/>
      <c r="V4" s="41"/>
      <c r="W4" s="41"/>
      <c r="Z4" s="333" t="s">
        <v>589</v>
      </c>
      <c r="AA4" s="4">
        <f>-T7</f>
        <v>11956746.022433251</v>
      </c>
      <c r="AC4" s="333" t="s">
        <v>597</v>
      </c>
      <c r="AD4" s="29">
        <v>31500000</v>
      </c>
    </row>
    <row r="5" spans="1:30" x14ac:dyDescent="0.25">
      <c r="A5" s="38">
        <f>A4+1</f>
        <v>2</v>
      </c>
      <c r="B5" s="74" t="s">
        <v>535</v>
      </c>
      <c r="C5" s="4">
        <f>SUM('Networth Inputs'!F12:F18)</f>
        <v>392637516.65142918</v>
      </c>
      <c r="E5" s="3">
        <f>E4+1</f>
        <v>2</v>
      </c>
      <c r="F5" s="333" t="s">
        <v>567</v>
      </c>
      <c r="G5" s="4">
        <f>SUMIFS('Networth Inputs'!$F$4:$F$18,'Networth Inputs'!$E$4:$E$18,"Debt")+SUMIFS('Networth Inputs'!$F$39:$F$94,'Networth Inputs'!$E$39:$E$94,"Debt")</f>
        <v>150205309.1614292</v>
      </c>
      <c r="H5" s="23" t="s">
        <v>568</v>
      </c>
      <c r="J5" s="38">
        <f t="shared" ref="J5:J13" si="0">J4+1</f>
        <v>2</v>
      </c>
      <c r="K5" s="3" t="s">
        <v>160</v>
      </c>
      <c r="L5" s="273">
        <v>2.1</v>
      </c>
      <c r="P5" s="43">
        <v>1</v>
      </c>
      <c r="Q5" s="44" t="s">
        <v>161</v>
      </c>
      <c r="R5" s="45">
        <f>101363742-0.94*T5</f>
        <v>101363742</v>
      </c>
      <c r="S5" s="45">
        <v>0</v>
      </c>
      <c r="T5" s="45">
        <f>VLOOKUP("Zerodha Broking Mishayan: Liquidbees/ Liquidcase",'Networth Inputs - old'!$C$4:$E$114,3,FALSE)</f>
        <v>0</v>
      </c>
      <c r="U5" s="45">
        <f>'Networth Inputs'!F17+'Networth Inputs'!F18</f>
        <v>277248489.49000001</v>
      </c>
      <c r="V5" s="46">
        <f>SUM(R5:U5)</f>
        <v>378612231.49000001</v>
      </c>
      <c r="W5" s="335">
        <f>V5/$C$22</f>
        <v>0.52775260479125841</v>
      </c>
      <c r="X5" s="36"/>
      <c r="Z5" s="333" t="s">
        <v>591</v>
      </c>
      <c r="AA5" s="4">
        <f>U6</f>
        <v>43996262.501239061</v>
      </c>
      <c r="AC5" s="333" t="s">
        <v>598</v>
      </c>
      <c r="AD5" s="29">
        <f>50000000-31500000</f>
        <v>18500000</v>
      </c>
    </row>
    <row r="6" spans="1:30" x14ac:dyDescent="0.25">
      <c r="A6" s="38">
        <f t="shared" ref="A6:A20" si="1">A5+1</f>
        <v>3</v>
      </c>
      <c r="B6" s="3" t="str">
        <f>'Networth Inputs'!D39</f>
        <v>Sushila Nahar Equity MF</v>
      </c>
      <c r="C6" s="4">
        <f>'Networth Inputs'!F39</f>
        <v>15014887</v>
      </c>
      <c r="E6" s="3">
        <f t="shared" ref="E6" si="2">E5+1</f>
        <v>3</v>
      </c>
      <c r="F6" s="333" t="s">
        <v>569</v>
      </c>
      <c r="G6" s="4">
        <f>SUMIFS('Networth Inputs'!$F$4:$F$18,'Networth Inputs'!$E$4:$E$18,"Equity")</f>
        <v>233042475.90456593</v>
      </c>
      <c r="H6" s="23" t="s">
        <v>570</v>
      </c>
      <c r="J6" s="38">
        <f t="shared" si="0"/>
        <v>3</v>
      </c>
      <c r="K6" s="3" t="s">
        <v>163</v>
      </c>
      <c r="L6" s="42">
        <v>8</v>
      </c>
      <c r="M6" s="42"/>
      <c r="P6" s="43">
        <f>P5+1</f>
        <v>2</v>
      </c>
      <c r="Q6" s="44" t="s">
        <v>164</v>
      </c>
      <c r="R6" s="46">
        <f>SUM(R9:R16)</f>
        <v>120000924.92666186</v>
      </c>
      <c r="S6" s="46">
        <f t="shared" ref="S6:V6" si="3">SUM(S9:S16)</f>
        <v>120000924.92666186</v>
      </c>
      <c r="T6" s="46">
        <f t="shared" si="3"/>
        <v>11956746.022433251</v>
      </c>
      <c r="U6" s="46">
        <f t="shared" si="3"/>
        <v>43996262.501239061</v>
      </c>
      <c r="V6" s="46">
        <f t="shared" si="3"/>
        <v>295954858.37699604</v>
      </c>
      <c r="W6" s="335">
        <f t="shared" ref="W6:W15" si="4">V6/$C$22</f>
        <v>0.41253539748150742</v>
      </c>
      <c r="Z6" s="333" t="s">
        <v>592</v>
      </c>
      <c r="AA6" s="57">
        <f>AA2-AA3-AA4-AA5</f>
        <v>200587499.93670341</v>
      </c>
      <c r="AC6" s="115" t="s">
        <v>595</v>
      </c>
      <c r="AD6" s="113">
        <f>SUM(AD2:AD5)</f>
        <v>56014842.060000002</v>
      </c>
    </row>
    <row r="7" spans="1:30" x14ac:dyDescent="0.25">
      <c r="A7" s="38">
        <f t="shared" si="1"/>
        <v>4</v>
      </c>
      <c r="B7" s="3" t="str">
        <f>'Networth Inputs'!D40</f>
        <v>Yogita Agrawal Qode PMS - QMF</v>
      </c>
      <c r="C7" s="4">
        <f>'Networth Inputs'!F40</f>
        <v>10279399.68</v>
      </c>
      <c r="J7" s="38">
        <f t="shared" si="0"/>
        <v>4</v>
      </c>
      <c r="K7" s="3" t="s">
        <v>165</v>
      </c>
      <c r="L7" s="39">
        <f>5%*2/3</f>
        <v>3.3333333333333333E-2</v>
      </c>
      <c r="P7" s="43">
        <f>P6+1</f>
        <v>3</v>
      </c>
      <c r="Q7" s="47" t="s">
        <v>166</v>
      </c>
      <c r="R7" s="48">
        <f>R5-R6</f>
        <v>-18637182.926661864</v>
      </c>
      <c r="S7" s="48">
        <f t="shared" ref="S7:U7" si="5">S5-S6</f>
        <v>-120000924.92666186</v>
      </c>
      <c r="T7" s="48">
        <f t="shared" si="5"/>
        <v>-11956746.022433251</v>
      </c>
      <c r="U7" s="48">
        <f t="shared" si="5"/>
        <v>233252226.98876095</v>
      </c>
      <c r="V7" s="48">
        <f>SUM(R7:U7)</f>
        <v>82657373.113003969</v>
      </c>
      <c r="W7" s="335">
        <f t="shared" si="4"/>
        <v>0.11521720730975102</v>
      </c>
      <c r="Z7" s="92" t="s">
        <v>590</v>
      </c>
      <c r="AA7" s="29">
        <f>50000000-31500000</f>
        <v>18500000</v>
      </c>
    </row>
    <row r="8" spans="1:30" x14ac:dyDescent="0.25">
      <c r="A8" s="38">
        <f t="shared" si="1"/>
        <v>5</v>
      </c>
      <c r="B8" s="3" t="str">
        <f>'Networth Inputs'!D43</f>
        <v>Loan to Vihaan</v>
      </c>
      <c r="C8" s="4">
        <f>'Networth Inputs'!F43</f>
        <v>3000000</v>
      </c>
      <c r="D8" s="29"/>
      <c r="E8" s="29"/>
      <c r="F8" s="29"/>
      <c r="G8" s="29"/>
      <c r="H8" s="29"/>
      <c r="J8" s="38">
        <f t="shared" si="0"/>
        <v>5</v>
      </c>
      <c r="K8" s="3" t="s">
        <v>167</v>
      </c>
      <c r="L8" s="39">
        <f>5%*1/3</f>
        <v>1.6666666666666666E-2</v>
      </c>
      <c r="P8" s="43"/>
      <c r="Q8" s="44"/>
      <c r="R8" s="46"/>
      <c r="S8" s="46"/>
      <c r="T8" s="46"/>
      <c r="U8" s="46"/>
      <c r="V8" s="46"/>
      <c r="W8" s="336"/>
      <c r="Z8" s="333" t="s">
        <v>593</v>
      </c>
      <c r="AA8" s="29">
        <v>65000000</v>
      </c>
    </row>
    <row r="9" spans="1:30" x14ac:dyDescent="0.25">
      <c r="A9" s="38">
        <f t="shared" si="1"/>
        <v>6</v>
      </c>
      <c r="B9" s="3" t="str">
        <f>'Networth Inputs'!D44</f>
        <v>Rishabh Nahar Qode PMS - QFH</v>
      </c>
      <c r="C9" s="4">
        <f>'Networth Inputs'!F44</f>
        <v>5687110</v>
      </c>
      <c r="D9" s="29"/>
      <c r="E9" s="29"/>
      <c r="F9" s="29"/>
      <c r="G9" s="29"/>
      <c r="H9" s="29"/>
      <c r="J9" s="38">
        <f t="shared" si="0"/>
        <v>6</v>
      </c>
      <c r="K9" s="3" t="s">
        <v>168</v>
      </c>
      <c r="L9" s="39">
        <v>0.04</v>
      </c>
      <c r="P9" s="40">
        <v>1</v>
      </c>
      <c r="Q9" s="41" t="s">
        <v>165</v>
      </c>
      <c r="R9" s="49"/>
      <c r="S9" s="49"/>
      <c r="T9" s="49"/>
      <c r="U9" s="49">
        <f>L7*C22</f>
        <v>23913492.044866502</v>
      </c>
      <c r="V9" s="49">
        <f t="shared" ref="V9:V10" si="6">SUM(R9:U9)</f>
        <v>23913492.044866502</v>
      </c>
      <c r="W9" s="337">
        <f t="shared" si="4"/>
        <v>3.3333333333333333E-2</v>
      </c>
      <c r="X9" s="5"/>
      <c r="Y9" s="50"/>
      <c r="Z9" s="333" t="s">
        <v>594</v>
      </c>
      <c r="AA9" s="29">
        <f>32500000-4400000</f>
        <v>28100000</v>
      </c>
    </row>
    <row r="10" spans="1:30" x14ac:dyDescent="0.25">
      <c r="A10" s="38">
        <f t="shared" si="1"/>
        <v>7</v>
      </c>
      <c r="B10" s="3" t="str">
        <f>'Networth Inputs'!D45</f>
        <v>Swan Capital</v>
      </c>
      <c r="C10" s="4">
        <f>'Networth Inputs'!F45</f>
        <v>5881036</v>
      </c>
      <c r="D10" s="65"/>
      <c r="E10" s="65"/>
      <c r="F10" s="65"/>
      <c r="G10" s="65"/>
      <c r="H10" s="65"/>
      <c r="J10" s="38">
        <f t="shared" si="0"/>
        <v>7</v>
      </c>
      <c r="K10" s="333" t="s">
        <v>571</v>
      </c>
      <c r="L10" s="42">
        <v>6</v>
      </c>
      <c r="M10" s="42"/>
      <c r="P10" s="43">
        <f>P9+1</f>
        <v>2</v>
      </c>
      <c r="Q10" s="44" t="s">
        <v>167</v>
      </c>
      <c r="R10" s="46"/>
      <c r="S10" s="46"/>
      <c r="T10" s="46">
        <f>L8*C22</f>
        <v>11956746.022433251</v>
      </c>
      <c r="U10" s="46"/>
      <c r="V10" s="46">
        <f t="shared" si="6"/>
        <v>11956746.022433251</v>
      </c>
      <c r="W10" s="335">
        <f t="shared" si="4"/>
        <v>1.6666666666666666E-2</v>
      </c>
      <c r="X10" s="5"/>
      <c r="Y10" s="36"/>
      <c r="Z10" s="333" t="s">
        <v>599</v>
      </c>
      <c r="AA10" s="29">
        <v>6000000</v>
      </c>
    </row>
    <row r="11" spans="1:30" x14ac:dyDescent="0.25">
      <c r="A11" s="38">
        <f t="shared" si="1"/>
        <v>8</v>
      </c>
      <c r="B11" s="3" t="str">
        <f>'Networth Inputs'!D46</f>
        <v>Sushila Nahar HDFC</v>
      </c>
      <c r="C11" s="4">
        <f>'Networth Inputs'!F46</f>
        <v>0</v>
      </c>
      <c r="D11" s="65"/>
      <c r="E11" s="65"/>
      <c r="F11" s="65"/>
      <c r="G11" s="65"/>
      <c r="H11" s="65"/>
      <c r="J11" s="38">
        <f t="shared" si="0"/>
        <v>8</v>
      </c>
      <c r="L11" s="51"/>
      <c r="P11" s="43"/>
      <c r="Q11" s="44"/>
      <c r="R11" s="46"/>
      <c r="S11" s="46"/>
      <c r="T11" s="46"/>
      <c r="U11" s="46"/>
      <c r="V11" s="46"/>
      <c r="W11" s="336"/>
      <c r="Y11" s="52"/>
      <c r="Z11" s="8" t="s">
        <v>595</v>
      </c>
      <c r="AA11" s="270">
        <f>AA6-AA7-AA9-AA10</f>
        <v>147987499.93670341</v>
      </c>
    </row>
    <row r="12" spans="1:30" x14ac:dyDescent="0.25">
      <c r="A12" s="38">
        <f t="shared" si="1"/>
        <v>9</v>
      </c>
      <c r="B12" s="3" t="str">
        <f>'Networth Inputs'!D47</f>
        <v>Sushila Nahar Zerodha</v>
      </c>
      <c r="C12" s="4">
        <f>'Networth Inputs'!F47</f>
        <v>11699620</v>
      </c>
      <c r="J12" s="38">
        <f t="shared" si="0"/>
        <v>9</v>
      </c>
      <c r="K12" s="102"/>
      <c r="L12" s="42"/>
      <c r="P12" s="40">
        <v>1</v>
      </c>
      <c r="Q12" s="41" t="s">
        <v>134</v>
      </c>
      <c r="R12" s="49"/>
      <c r="S12" s="49"/>
      <c r="T12" s="49"/>
      <c r="U12" s="49">
        <f>L4*C22</f>
        <v>10761071.420189926</v>
      </c>
      <c r="V12" s="49">
        <f t="shared" ref="V12:V15" si="7">SUM(R12:U12)</f>
        <v>10761071.420189926</v>
      </c>
      <c r="W12" s="335">
        <f t="shared" si="4"/>
        <v>1.5000000000000001E-2</v>
      </c>
      <c r="X12" s="5"/>
    </row>
    <row r="13" spans="1:30" x14ac:dyDescent="0.25">
      <c r="A13" s="38">
        <f t="shared" si="1"/>
        <v>10</v>
      </c>
      <c r="B13" s="3" t="str">
        <f>'Networth Inputs'!D49</f>
        <v>HDFC Bank RN</v>
      </c>
      <c r="C13" s="4">
        <f>'Networth Inputs'!F49</f>
        <v>5898983.0499999998</v>
      </c>
      <c r="J13" s="38">
        <f t="shared" si="0"/>
        <v>10</v>
      </c>
      <c r="L13" s="39"/>
      <c r="P13" s="43">
        <f>P12+1</f>
        <v>2</v>
      </c>
      <c r="Q13" s="44" t="s">
        <v>136</v>
      </c>
      <c r="R13" s="46">
        <f>$C$22*$L$5/$L$6/2</f>
        <v>94159374.926661864</v>
      </c>
      <c r="S13" s="46">
        <f>$C$22*$L$5/$L$6/2</f>
        <v>94159374.926661864</v>
      </c>
      <c r="T13" s="46"/>
      <c r="U13" s="46"/>
      <c r="V13" s="46">
        <f t="shared" si="7"/>
        <v>188318749.85332373</v>
      </c>
      <c r="W13" s="335">
        <f t="shared" si="4"/>
        <v>0.26250000000000001</v>
      </c>
    </row>
    <row r="14" spans="1:30" x14ac:dyDescent="0.25">
      <c r="A14" s="38">
        <f t="shared" si="1"/>
        <v>11</v>
      </c>
      <c r="B14" s="3" t="str">
        <f>'Networth Inputs'!D50</f>
        <v>HDFC Bank Mishayan</v>
      </c>
      <c r="C14" s="4">
        <f>'Networth Inputs'!F50</f>
        <v>1857193</v>
      </c>
      <c r="J14" s="38"/>
      <c r="P14" s="43">
        <f>P13+1</f>
        <v>3</v>
      </c>
      <c r="Q14" s="44" t="s">
        <v>171</v>
      </c>
      <c r="R14" s="46"/>
      <c r="S14" s="46"/>
      <c r="T14" s="46"/>
      <c r="U14" s="46">
        <f>$L$9*G6</f>
        <v>9321699.0361826383</v>
      </c>
      <c r="V14" s="46">
        <f t="shared" si="7"/>
        <v>9321699.0361826383</v>
      </c>
      <c r="W14" s="335">
        <f t="shared" si="4"/>
        <v>1.2993639767170297E-2</v>
      </c>
      <c r="X14" s="5"/>
      <c r="Z14" s="344" t="s">
        <v>601</v>
      </c>
    </row>
    <row r="15" spans="1:30" x14ac:dyDescent="0.25">
      <c r="A15" s="38">
        <f t="shared" si="1"/>
        <v>12</v>
      </c>
      <c r="B15" s="3" t="str">
        <f>'Networth Inputs'!D51</f>
        <v>FD</v>
      </c>
      <c r="C15" s="4">
        <f>'Networth Inputs'!F51</f>
        <v>23500000</v>
      </c>
      <c r="P15" s="43">
        <f>P14+1</f>
        <v>4</v>
      </c>
      <c r="Q15" s="334" t="s">
        <v>572</v>
      </c>
      <c r="R15" s="46">
        <f>$G$4/$L$10/2</f>
        <v>25841550</v>
      </c>
      <c r="S15" s="46">
        <f>$G$4/$L$10/2</f>
        <v>25841550</v>
      </c>
      <c r="T15" s="46"/>
      <c r="U15" s="46"/>
      <c r="V15" s="46">
        <f t="shared" si="7"/>
        <v>51683100</v>
      </c>
      <c r="W15" s="335">
        <f t="shared" si="4"/>
        <v>7.2041757714337087E-2</v>
      </c>
      <c r="X15" s="5"/>
    </row>
    <row r="16" spans="1:30" x14ac:dyDescent="0.25">
      <c r="A16" s="38">
        <f t="shared" si="1"/>
        <v>13</v>
      </c>
      <c r="B16" s="3" t="str">
        <f>'Networth Inputs'!D52</f>
        <v>ICICI Bank OD</v>
      </c>
      <c r="C16" s="4">
        <f>'Networth Inputs'!F52</f>
        <v>898458</v>
      </c>
      <c r="P16" s="53"/>
      <c r="Q16" s="104"/>
      <c r="R16" s="54"/>
      <c r="S16" s="54"/>
      <c r="T16" s="54"/>
      <c r="U16" s="54"/>
      <c r="V16" s="54"/>
      <c r="W16" s="54"/>
      <c r="X16" s="5"/>
    </row>
    <row r="17" spans="1:26" x14ac:dyDescent="0.25">
      <c r="A17" s="38">
        <f t="shared" si="1"/>
        <v>14</v>
      </c>
      <c r="B17" s="3" t="str">
        <f>'Networth Inputs'!D53</f>
        <v>HDFC Bank FD</v>
      </c>
      <c r="C17" s="4">
        <f>'Networth Inputs'!F53</f>
        <v>1000000</v>
      </c>
      <c r="J17" s="3" t="s">
        <v>173</v>
      </c>
      <c r="K17" s="3" t="s">
        <v>174</v>
      </c>
    </row>
    <row r="18" spans="1:26" x14ac:dyDescent="0.25">
      <c r="A18" s="38">
        <f t="shared" si="1"/>
        <v>15</v>
      </c>
      <c r="B18" s="3" t="str">
        <f>'Networth Inputs'!D55</f>
        <v>Sumesh FD</v>
      </c>
      <c r="C18" s="4">
        <f>'Networth Inputs'!F55</f>
        <v>2500000</v>
      </c>
      <c r="K18" s="3" t="s">
        <v>175</v>
      </c>
      <c r="Q18" s="115"/>
      <c r="R18" s="274"/>
      <c r="S18" s="274"/>
      <c r="T18" s="275"/>
      <c r="U18" s="275"/>
      <c r="V18" s="274"/>
      <c r="W18" s="274"/>
      <c r="Z18" s="55"/>
    </row>
    <row r="19" spans="1:26" x14ac:dyDescent="0.25">
      <c r="A19" s="38">
        <f t="shared" si="1"/>
        <v>16</v>
      </c>
      <c r="B19" s="3">
        <f>'Networth Inputs'!D56</f>
        <v>0</v>
      </c>
      <c r="C19" s="4">
        <f>'Networth Inputs'!F56</f>
        <v>0</v>
      </c>
      <c r="K19" s="3" t="s">
        <v>176</v>
      </c>
      <c r="Q19" s="230" t="s">
        <v>580</v>
      </c>
      <c r="R19" s="231">
        <f>R6/0.88</f>
        <v>136364687.4166612</v>
      </c>
      <c r="S19" s="231">
        <f>S6/0.88</f>
        <v>136364687.4166612</v>
      </c>
      <c r="T19" s="339">
        <f>T6</f>
        <v>11956746.022433251</v>
      </c>
      <c r="U19" s="339">
        <f>U6</f>
        <v>43996262.501239061</v>
      </c>
      <c r="V19" s="231">
        <f>SUM(R19:U19)</f>
        <v>328682383.35699475</v>
      </c>
      <c r="W19" s="340">
        <f>V19/C22</f>
        <v>0.45815472807891705</v>
      </c>
    </row>
    <row r="20" spans="1:26" x14ac:dyDescent="0.25">
      <c r="A20" s="38">
        <f t="shared" si="1"/>
        <v>17</v>
      </c>
      <c r="Q20" s="115"/>
      <c r="R20" s="55"/>
      <c r="S20" s="55"/>
      <c r="V20" s="342">
        <v>340000000</v>
      </c>
    </row>
    <row r="21" spans="1:26" x14ac:dyDescent="0.25">
      <c r="A21" s="38">
        <f t="shared" ref="A21" si="8">A20+1</f>
        <v>18</v>
      </c>
      <c r="Q21" s="330"/>
      <c r="R21" s="29"/>
      <c r="S21" s="4"/>
      <c r="U21" s="57"/>
    </row>
    <row r="22" spans="1:26" x14ac:dyDescent="0.25">
      <c r="B22" s="8" t="s">
        <v>158</v>
      </c>
      <c r="C22" s="56">
        <f>SUM(C4:C21)</f>
        <v>717404761.34599507</v>
      </c>
      <c r="D22" s="254"/>
      <c r="E22" s="254"/>
      <c r="F22" s="254"/>
      <c r="G22" s="254"/>
      <c r="H22" s="254"/>
      <c r="S22" s="5"/>
      <c r="U22" s="304"/>
    </row>
    <row r="23" spans="1:26" x14ac:dyDescent="0.25">
      <c r="K23" s="4"/>
    </row>
    <row r="24" spans="1:26" x14ac:dyDescent="0.25">
      <c r="K24" s="4"/>
    </row>
    <row r="25" spans="1:26" x14ac:dyDescent="0.25">
      <c r="K25" s="4"/>
      <c r="X25" s="100"/>
    </row>
    <row r="26" spans="1:26" x14ac:dyDescent="0.25">
      <c r="C26" s="108"/>
      <c r="K26" s="55"/>
      <c r="X26" s="100"/>
    </row>
    <row r="27" spans="1:26" x14ac:dyDescent="0.25">
      <c r="E27" s="243"/>
      <c r="F27" s="243"/>
      <c r="G27" s="243"/>
      <c r="H27" s="243"/>
      <c r="K27" s="4"/>
      <c r="L27" s="236"/>
    </row>
    <row r="28" spans="1:26" x14ac:dyDescent="0.25">
      <c r="E28" s="4"/>
      <c r="F28" s="4"/>
      <c r="G28" s="4"/>
      <c r="H28" s="4"/>
      <c r="K28" s="55"/>
      <c r="L28" s="236"/>
    </row>
    <row r="29" spans="1:26" x14ac:dyDescent="0.25">
      <c r="E29" s="23"/>
      <c r="F29" s="23"/>
      <c r="G29" s="23"/>
      <c r="H29" s="23"/>
      <c r="K29" s="52"/>
      <c r="L29" s="236"/>
    </row>
    <row r="30" spans="1:26" x14ac:dyDescent="0.25">
      <c r="E30" s="23"/>
      <c r="F30" s="23"/>
      <c r="G30" s="23"/>
      <c r="H30" s="23"/>
      <c r="K30" s="237"/>
      <c r="L30" s="236"/>
      <c r="W30" s="115"/>
    </row>
    <row r="31" spans="1:26" x14ac:dyDescent="0.25">
      <c r="K31" s="233"/>
      <c r="L31" s="236"/>
      <c r="W31" s="115"/>
    </row>
    <row r="32" spans="1:26" x14ac:dyDescent="0.25">
      <c r="K32" s="4"/>
      <c r="L32" s="236"/>
      <c r="W32" s="115"/>
    </row>
    <row r="33" spans="3:23" x14ac:dyDescent="0.25">
      <c r="C33" s="106"/>
      <c r="K33" s="57"/>
      <c r="L33" s="236"/>
      <c r="W33" s="115"/>
    </row>
    <row r="34" spans="3:23" x14ac:dyDescent="0.25">
      <c r="W34" s="115"/>
    </row>
    <row r="36" spans="3:23" x14ac:dyDescent="0.25">
      <c r="R36" s="331"/>
      <c r="S36" s="333"/>
      <c r="T36" s="55"/>
    </row>
    <row r="37" spans="3:23" x14ac:dyDescent="0.25">
      <c r="C37" s="4"/>
      <c r="K37" s="4"/>
      <c r="L37" s="236"/>
      <c r="Q37" s="332"/>
      <c r="R37" s="4"/>
      <c r="S37" s="333"/>
      <c r="T37" s="4"/>
    </row>
    <row r="38" spans="3:23" x14ac:dyDescent="0.25">
      <c r="K38" s="4"/>
      <c r="L38" s="236"/>
      <c r="M38" s="65"/>
      <c r="S38" s="333"/>
      <c r="T38" s="57"/>
    </row>
    <row r="39" spans="3:23" x14ac:dyDescent="0.25">
      <c r="Q39" s="332"/>
      <c r="S39" s="333"/>
    </row>
    <row r="40" spans="3:23" x14ac:dyDescent="0.25">
      <c r="Q40" s="115"/>
      <c r="R40" s="57"/>
      <c r="S40" s="333"/>
      <c r="T40" s="57"/>
    </row>
    <row r="41" spans="3:23" x14ac:dyDescent="0.25">
      <c r="L41" s="236"/>
      <c r="T41" s="57"/>
      <c r="U41" s="333"/>
      <c r="V41" s="333"/>
    </row>
    <row r="42" spans="3:23" x14ac:dyDescent="0.25">
      <c r="L42" s="236"/>
    </row>
    <row r="44" spans="3:23" x14ac:dyDescent="0.25">
      <c r="K44" s="4"/>
    </row>
    <row r="48" spans="3:23" x14ac:dyDescent="0.25">
      <c r="K48" s="4"/>
    </row>
    <row r="49" spans="11:11" x14ac:dyDescent="0.25">
      <c r="K49" s="4"/>
    </row>
  </sheetData>
  <conditionalFormatting sqref="R7:V7">
    <cfRule type="cellIs" dxfId="6" priority="3" operator="lessThan">
      <formula>0</formula>
    </cfRule>
    <cfRule type="cellIs" dxfId="5" priority="4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O55"/>
  <sheetViews>
    <sheetView zoomScaleNormal="100" workbookViewId="0">
      <selection activeCell="D19" sqref="D19"/>
    </sheetView>
  </sheetViews>
  <sheetFormatPr defaultColWidth="9.140625" defaultRowHeight="15" x14ac:dyDescent="0.25"/>
  <cols>
    <col min="1" max="1" width="9.140625" style="3"/>
    <col min="2" max="2" width="32.42578125" style="3" bestFit="1" customWidth="1"/>
    <col min="3" max="3" width="15" style="3" bestFit="1" customWidth="1"/>
    <col min="4" max="4" width="14.85546875" style="3" bestFit="1" customWidth="1"/>
    <col min="5" max="5" width="14.85546875" style="3" customWidth="1"/>
    <col min="6" max="7" width="20" style="3" bestFit="1" customWidth="1"/>
    <col min="8" max="8" width="20" style="3" customWidth="1"/>
    <col min="9" max="9" width="19" style="3" bestFit="1" customWidth="1"/>
    <col min="10" max="10" width="23" style="3" bestFit="1" customWidth="1"/>
    <col min="11" max="11" width="9.140625" style="3"/>
    <col min="12" max="12" width="19.140625" style="3" customWidth="1"/>
    <col min="13" max="13" width="19.85546875" style="3" bestFit="1" customWidth="1"/>
    <col min="14" max="16384" width="9.140625" style="3"/>
  </cols>
  <sheetData>
    <row r="1" spans="1:13" x14ac:dyDescent="0.25">
      <c r="B1" s="202"/>
      <c r="H1" s="4"/>
      <c r="L1" s="4"/>
      <c r="M1" s="69"/>
    </row>
    <row r="2" spans="1:13" x14ac:dyDescent="0.25">
      <c r="A2" s="126" t="s">
        <v>42</v>
      </c>
      <c r="B2" s="126" t="s">
        <v>130</v>
      </c>
      <c r="C2" s="126" t="s">
        <v>148</v>
      </c>
      <c r="D2" s="126" t="s">
        <v>132</v>
      </c>
      <c r="E2" s="126" t="s">
        <v>603</v>
      </c>
      <c r="F2" s="126" t="s">
        <v>574</v>
      </c>
      <c r="G2" s="126" t="s">
        <v>575</v>
      </c>
      <c r="H2" s="126" t="s">
        <v>133</v>
      </c>
      <c r="I2" s="126" t="s">
        <v>135</v>
      </c>
      <c r="J2" s="126" t="s">
        <v>576</v>
      </c>
      <c r="M2" s="69"/>
    </row>
    <row r="3" spans="1:13" x14ac:dyDescent="0.25">
      <c r="A3" s="3">
        <v>1</v>
      </c>
      <c r="B3" s="3" t="s">
        <v>535</v>
      </c>
      <c r="C3" s="333" t="s">
        <v>134</v>
      </c>
      <c r="D3" s="27">
        <v>1.4999999999999999E-2</v>
      </c>
      <c r="E3" s="27" t="s">
        <v>604</v>
      </c>
      <c r="F3" s="57">
        <f>'Cash and Margin'!$C$22</f>
        <v>717404761.34599507</v>
      </c>
      <c r="G3" s="27">
        <v>1</v>
      </c>
      <c r="H3" s="4">
        <f>G3*F3</f>
        <v>717404761.34599507</v>
      </c>
      <c r="I3" s="57">
        <f>H3</f>
        <v>717404761.34599507</v>
      </c>
      <c r="J3" s="57">
        <f>IF(C3="Long Options",D3*H3,0)</f>
        <v>10761071.420189926</v>
      </c>
      <c r="M3" s="69"/>
    </row>
    <row r="4" spans="1:13" x14ac:dyDescent="0.25">
      <c r="A4" s="92">
        <f>A3+1</f>
        <v>2</v>
      </c>
      <c r="B4" s="3" t="s">
        <v>535</v>
      </c>
      <c r="C4" s="92" t="s">
        <v>136</v>
      </c>
      <c r="D4" s="338">
        <v>2.1</v>
      </c>
      <c r="E4" s="27" t="s">
        <v>604</v>
      </c>
      <c r="F4" s="57">
        <f>'Cash and Margin'!$C$22</f>
        <v>717404761.34599507</v>
      </c>
      <c r="G4" s="27">
        <v>1</v>
      </c>
      <c r="H4" s="4">
        <f t="shared" ref="H4:H13" si="0">G4*F4</f>
        <v>717404761.34599507</v>
      </c>
      <c r="I4" s="57">
        <f t="shared" ref="I4:I7" si="1">H4*D4</f>
        <v>1506549998.8265898</v>
      </c>
      <c r="J4" s="57">
        <f t="shared" ref="J4:J13" si="2">IF(C4="Long Options",D4*H4,0)</f>
        <v>0</v>
      </c>
      <c r="M4" s="69"/>
    </row>
    <row r="5" spans="1:13" x14ac:dyDescent="0.25">
      <c r="A5" s="92">
        <f t="shared" ref="A5:A7" si="3">A4+1</f>
        <v>3</v>
      </c>
      <c r="B5" s="3" t="s">
        <v>535</v>
      </c>
      <c r="C5" s="333" t="s">
        <v>280</v>
      </c>
      <c r="D5" s="27">
        <v>0</v>
      </c>
      <c r="E5" s="27" t="s">
        <v>6</v>
      </c>
      <c r="F5" s="57">
        <f>'Cash and Margin'!$C$22</f>
        <v>717404761.34599507</v>
      </c>
      <c r="G5" s="27">
        <v>1</v>
      </c>
      <c r="H5" s="4">
        <f t="shared" si="0"/>
        <v>717404761.34599507</v>
      </c>
      <c r="I5" s="57">
        <f t="shared" si="1"/>
        <v>0</v>
      </c>
      <c r="J5" s="57">
        <f t="shared" si="2"/>
        <v>0</v>
      </c>
      <c r="M5" s="69"/>
    </row>
    <row r="6" spans="1:13" x14ac:dyDescent="0.25">
      <c r="A6" s="92">
        <f t="shared" si="3"/>
        <v>4</v>
      </c>
      <c r="B6" s="3" t="s">
        <v>535</v>
      </c>
      <c r="C6" s="333" t="s">
        <v>279</v>
      </c>
      <c r="D6" s="27">
        <f>F6/'Cash and Margin'!C22</f>
        <v>0.43225054628602255</v>
      </c>
      <c r="E6" s="27" t="s">
        <v>58</v>
      </c>
      <c r="F6" s="57">
        <f>'Cash and Margin'!G4</f>
        <v>310098600</v>
      </c>
      <c r="G6" s="27">
        <v>1</v>
      </c>
      <c r="H6" s="4">
        <f t="shared" si="0"/>
        <v>310098600</v>
      </c>
      <c r="I6" s="57">
        <f t="shared" si="1"/>
        <v>134040289.2525308</v>
      </c>
      <c r="J6" s="57">
        <f t="shared" si="2"/>
        <v>0</v>
      </c>
    </row>
    <row r="7" spans="1:13" x14ac:dyDescent="0.25">
      <c r="A7" s="92">
        <f t="shared" si="3"/>
        <v>5</v>
      </c>
      <c r="B7" s="3" t="s">
        <v>535</v>
      </c>
      <c r="C7" s="333" t="s">
        <v>137</v>
      </c>
      <c r="D7" s="27">
        <f>F7/'Cash and Margin'!C22</f>
        <v>0.32484099417925738</v>
      </c>
      <c r="E7" s="27" t="s">
        <v>604</v>
      </c>
      <c r="F7" s="57">
        <f>'Cash and Margin'!G6</f>
        <v>233042475.90456593</v>
      </c>
      <c r="G7" s="27">
        <v>1</v>
      </c>
      <c r="H7" s="4">
        <f t="shared" si="0"/>
        <v>233042475.90456593</v>
      </c>
      <c r="I7" s="57">
        <f t="shared" si="1"/>
        <v>75701749.558834836</v>
      </c>
      <c r="J7" s="57">
        <f t="shared" si="2"/>
        <v>0</v>
      </c>
    </row>
    <row r="8" spans="1:13" x14ac:dyDescent="0.25">
      <c r="A8" s="92"/>
      <c r="D8" s="28"/>
      <c r="E8" s="28"/>
      <c r="F8" s="4"/>
      <c r="G8" s="4"/>
      <c r="H8" s="4"/>
    </row>
    <row r="9" spans="1:13" x14ac:dyDescent="0.25">
      <c r="A9" s="92">
        <f>A7+1</f>
        <v>6</v>
      </c>
      <c r="B9" s="333" t="s">
        <v>276</v>
      </c>
      <c r="C9" s="333" t="s">
        <v>134</v>
      </c>
      <c r="D9" s="27">
        <v>0.02</v>
      </c>
      <c r="E9" s="27" t="s">
        <v>604</v>
      </c>
      <c r="F9" s="29">
        <v>201259165</v>
      </c>
      <c r="G9" s="27">
        <f>30%*35%</f>
        <v>0.105</v>
      </c>
      <c r="H9" s="4">
        <f t="shared" si="0"/>
        <v>21132212.324999999</v>
      </c>
      <c r="I9" s="4">
        <f>H9</f>
        <v>21132212.324999999</v>
      </c>
      <c r="J9" s="57">
        <f t="shared" si="2"/>
        <v>422644.24650000001</v>
      </c>
    </row>
    <row r="10" spans="1:13" x14ac:dyDescent="0.25">
      <c r="A10" s="92">
        <f>A9+1</f>
        <v>7</v>
      </c>
      <c r="B10" s="333" t="s">
        <v>276</v>
      </c>
      <c r="C10" s="92" t="s">
        <v>136</v>
      </c>
      <c r="D10" s="338">
        <v>3</v>
      </c>
      <c r="E10" s="27" t="s">
        <v>604</v>
      </c>
      <c r="F10" s="29">
        <v>201259165</v>
      </c>
      <c r="G10" s="27">
        <f t="shared" ref="G10:G19" si="4">30%*35%</f>
        <v>0.105</v>
      </c>
      <c r="H10" s="4">
        <f t="shared" si="0"/>
        <v>21132212.324999999</v>
      </c>
      <c r="I10" s="4">
        <f>H10*D10</f>
        <v>63396636.974999994</v>
      </c>
      <c r="J10" s="57">
        <f t="shared" si="2"/>
        <v>0</v>
      </c>
    </row>
    <row r="11" spans="1:13" x14ac:dyDescent="0.25">
      <c r="A11" s="92">
        <f t="shared" ref="A11:A13" si="5">A10+1</f>
        <v>8</v>
      </c>
      <c r="B11" s="333" t="s">
        <v>276</v>
      </c>
      <c r="C11" s="333" t="s">
        <v>280</v>
      </c>
      <c r="D11" s="27">
        <v>0</v>
      </c>
      <c r="E11" s="27" t="s">
        <v>6</v>
      </c>
      <c r="F11" s="29">
        <v>201259165</v>
      </c>
      <c r="G11" s="27">
        <f t="shared" si="4"/>
        <v>0.105</v>
      </c>
      <c r="H11" s="4">
        <f t="shared" si="0"/>
        <v>21132212.324999999</v>
      </c>
      <c r="I11" s="4">
        <f t="shared" ref="I11:I13" si="6">H11*D11</f>
        <v>0</v>
      </c>
      <c r="J11" s="57">
        <f t="shared" si="2"/>
        <v>0</v>
      </c>
      <c r="K11" s="71"/>
      <c r="L11" s="78"/>
    </row>
    <row r="12" spans="1:13" x14ac:dyDescent="0.25">
      <c r="A12" s="92">
        <f t="shared" si="5"/>
        <v>9</v>
      </c>
      <c r="B12" s="333" t="s">
        <v>276</v>
      </c>
      <c r="C12" s="333" t="s">
        <v>279</v>
      </c>
      <c r="D12" s="27">
        <v>0</v>
      </c>
      <c r="E12" s="27" t="s">
        <v>58</v>
      </c>
      <c r="F12" s="29">
        <v>201259165</v>
      </c>
      <c r="G12" s="27">
        <f t="shared" si="4"/>
        <v>0.105</v>
      </c>
      <c r="H12" s="4">
        <f t="shared" si="0"/>
        <v>21132212.324999999</v>
      </c>
      <c r="I12" s="4">
        <f t="shared" si="6"/>
        <v>0</v>
      </c>
      <c r="J12" s="57">
        <f t="shared" si="2"/>
        <v>0</v>
      </c>
      <c r="L12" s="83"/>
      <c r="M12" s="55"/>
    </row>
    <row r="13" spans="1:13" x14ac:dyDescent="0.25">
      <c r="A13" s="92">
        <f t="shared" si="5"/>
        <v>10</v>
      </c>
      <c r="B13" s="333" t="s">
        <v>276</v>
      </c>
      <c r="C13" s="333" t="s">
        <v>137</v>
      </c>
      <c r="D13" s="27">
        <v>0</v>
      </c>
      <c r="E13" s="27" t="s">
        <v>604</v>
      </c>
      <c r="F13" s="29">
        <v>201259165</v>
      </c>
      <c r="G13" s="27">
        <f t="shared" si="4"/>
        <v>0.105</v>
      </c>
      <c r="H13" s="4">
        <f t="shared" si="0"/>
        <v>21132212.324999999</v>
      </c>
      <c r="I13" s="4">
        <f t="shared" si="6"/>
        <v>0</v>
      </c>
      <c r="J13" s="57">
        <f t="shared" si="2"/>
        <v>0</v>
      </c>
      <c r="M13" s="55"/>
    </row>
    <row r="14" spans="1:13" x14ac:dyDescent="0.25">
      <c r="B14" s="239"/>
      <c r="D14" s="27"/>
      <c r="E14" s="27"/>
      <c r="F14" s="4"/>
      <c r="G14" s="4"/>
      <c r="H14" s="4"/>
      <c r="I14" s="55"/>
      <c r="L14" s="55"/>
      <c r="M14" s="101"/>
    </row>
    <row r="15" spans="1:13" x14ac:dyDescent="0.25">
      <c r="A15" s="92">
        <f>A13+1</f>
        <v>11</v>
      </c>
      <c r="B15" s="333" t="s">
        <v>260</v>
      </c>
      <c r="C15" s="333" t="s">
        <v>134</v>
      </c>
      <c r="D15" s="27">
        <v>1.4999999999999999E-2</v>
      </c>
      <c r="E15" s="27" t="s">
        <v>604</v>
      </c>
      <c r="F15" s="29">
        <v>247987850</v>
      </c>
      <c r="G15" s="27">
        <f t="shared" si="4"/>
        <v>0.105</v>
      </c>
      <c r="H15" s="4">
        <f t="shared" ref="H15:H19" si="7">G15*F15</f>
        <v>26038724.25</v>
      </c>
      <c r="I15" s="4">
        <f>H15</f>
        <v>26038724.25</v>
      </c>
      <c r="J15" s="57">
        <f t="shared" ref="J15:J19" si="8">IF(C15="Long Options",D15*H15,0)</f>
        <v>390580.86374999996</v>
      </c>
      <c r="M15" s="101"/>
    </row>
    <row r="16" spans="1:13" x14ac:dyDescent="0.25">
      <c r="A16" s="92">
        <f>A15+1</f>
        <v>12</v>
      </c>
      <c r="B16" s="333" t="s">
        <v>260</v>
      </c>
      <c r="C16" s="92" t="s">
        <v>136</v>
      </c>
      <c r="D16" s="338">
        <v>3</v>
      </c>
      <c r="E16" s="27" t="s">
        <v>604</v>
      </c>
      <c r="F16" s="29">
        <v>247987850</v>
      </c>
      <c r="G16" s="27">
        <f t="shared" si="4"/>
        <v>0.105</v>
      </c>
      <c r="H16" s="4">
        <f t="shared" si="7"/>
        <v>26038724.25</v>
      </c>
      <c r="I16" s="4">
        <f>H16*D16</f>
        <v>78116172.75</v>
      </c>
      <c r="J16" s="57">
        <f t="shared" si="8"/>
        <v>0</v>
      </c>
      <c r="M16" s="101"/>
    </row>
    <row r="17" spans="1:15" x14ac:dyDescent="0.25">
      <c r="A17" s="92">
        <f t="shared" ref="A17:A19" si="9">A16+1</f>
        <v>13</v>
      </c>
      <c r="B17" s="333" t="s">
        <v>260</v>
      </c>
      <c r="C17" s="333" t="s">
        <v>280</v>
      </c>
      <c r="D17" s="27">
        <v>0.6</v>
      </c>
      <c r="E17" s="27" t="s">
        <v>6</v>
      </c>
      <c r="F17" s="29">
        <v>247987850</v>
      </c>
      <c r="G17" s="27">
        <f t="shared" si="4"/>
        <v>0.105</v>
      </c>
      <c r="H17" s="4">
        <f t="shared" si="7"/>
        <v>26038724.25</v>
      </c>
      <c r="I17" s="4">
        <f t="shared" ref="I17:I19" si="10">H17*D17</f>
        <v>15623234.549999999</v>
      </c>
      <c r="J17" s="57">
        <f t="shared" si="8"/>
        <v>0</v>
      </c>
      <c r="L17" s="333" t="s">
        <v>602</v>
      </c>
      <c r="M17" s="101"/>
    </row>
    <row r="18" spans="1:15" x14ac:dyDescent="0.25">
      <c r="A18" s="92">
        <f t="shared" si="9"/>
        <v>14</v>
      </c>
      <c r="B18" s="333" t="s">
        <v>260</v>
      </c>
      <c r="C18" s="333" t="s">
        <v>279</v>
      </c>
      <c r="D18" s="27">
        <v>0.4</v>
      </c>
      <c r="E18" s="27" t="s">
        <v>58</v>
      </c>
      <c r="F18" s="29">
        <v>247987850</v>
      </c>
      <c r="G18" s="27">
        <f t="shared" si="4"/>
        <v>0.105</v>
      </c>
      <c r="H18" s="4">
        <f t="shared" si="7"/>
        <v>26038724.25</v>
      </c>
      <c r="I18" s="4">
        <f t="shared" si="10"/>
        <v>10415489.700000001</v>
      </c>
      <c r="J18" s="57">
        <f t="shared" si="8"/>
        <v>0</v>
      </c>
      <c r="L18" s="55"/>
      <c r="M18" s="101"/>
    </row>
    <row r="19" spans="1:15" x14ac:dyDescent="0.25">
      <c r="A19" s="92">
        <f t="shared" si="9"/>
        <v>15</v>
      </c>
      <c r="B19" s="333" t="s">
        <v>260</v>
      </c>
      <c r="C19" s="333" t="s">
        <v>137</v>
      </c>
      <c r="D19" s="27">
        <v>0.6</v>
      </c>
      <c r="E19" s="27" t="s">
        <v>604</v>
      </c>
      <c r="F19" s="29">
        <v>247987850</v>
      </c>
      <c r="G19" s="27">
        <f t="shared" si="4"/>
        <v>0.105</v>
      </c>
      <c r="H19" s="4">
        <f t="shared" si="7"/>
        <v>26038724.25</v>
      </c>
      <c r="I19" s="4">
        <f t="shared" si="10"/>
        <v>15623234.549999999</v>
      </c>
      <c r="J19" s="57">
        <f t="shared" si="8"/>
        <v>0</v>
      </c>
      <c r="L19" s="55"/>
      <c r="M19" s="101"/>
      <c r="O19" s="78"/>
    </row>
    <row r="20" spans="1:15" x14ac:dyDescent="0.25">
      <c r="B20" s="239"/>
      <c r="C20" s="108"/>
      <c r="D20" s="28"/>
      <c r="E20" s="28"/>
      <c r="F20" s="96"/>
      <c r="G20" s="4"/>
      <c r="H20" s="4"/>
      <c r="I20" s="4"/>
      <c r="J20" s="57"/>
      <c r="L20" s="55"/>
      <c r="M20" s="101"/>
      <c r="O20" s="78"/>
    </row>
    <row r="21" spans="1:15" x14ac:dyDescent="0.25">
      <c r="A21" s="92">
        <f>A19+1</f>
        <v>16</v>
      </c>
      <c r="B21" s="333" t="s">
        <v>560</v>
      </c>
      <c r="C21" s="333" t="s">
        <v>134</v>
      </c>
      <c r="D21" s="27">
        <v>1.4999999999999999E-2</v>
      </c>
      <c r="E21" s="27" t="s">
        <v>604</v>
      </c>
      <c r="F21" s="29">
        <f>49255956+49806019</f>
        <v>99061975</v>
      </c>
      <c r="G21" s="27">
        <f>20%*35%</f>
        <v>6.9999999999999993E-2</v>
      </c>
      <c r="H21" s="4">
        <f t="shared" ref="H21:H25" si="11">G21*F21</f>
        <v>6934338.2499999991</v>
      </c>
      <c r="I21" s="4">
        <f>H21</f>
        <v>6934338.2499999991</v>
      </c>
      <c r="J21" s="57">
        <f t="shared" ref="J21:J25" si="12">IF(C21="Long Options",D21*H21,0)</f>
        <v>104015.07374999998</v>
      </c>
      <c r="L21" s="52"/>
    </row>
    <row r="22" spans="1:15" x14ac:dyDescent="0.25">
      <c r="A22" s="92">
        <f>A21+1</f>
        <v>17</v>
      </c>
      <c r="B22" s="333" t="s">
        <v>560</v>
      </c>
      <c r="C22" s="92" t="s">
        <v>136</v>
      </c>
      <c r="D22" s="338">
        <v>2</v>
      </c>
      <c r="E22" s="27" t="s">
        <v>604</v>
      </c>
      <c r="F22" s="29">
        <f t="shared" ref="F22:F25" si="13">49255956+49806019</f>
        <v>99061975</v>
      </c>
      <c r="G22" s="27">
        <f t="shared" ref="G22:G25" si="14">20%*35%</f>
        <v>6.9999999999999993E-2</v>
      </c>
      <c r="H22" s="4">
        <f t="shared" si="11"/>
        <v>6934338.2499999991</v>
      </c>
      <c r="I22" s="4">
        <f>H22*D22</f>
        <v>13868676.499999998</v>
      </c>
      <c r="J22" s="57">
        <f t="shared" si="12"/>
        <v>0</v>
      </c>
    </row>
    <row r="23" spans="1:15" x14ac:dyDescent="0.25">
      <c r="A23" s="92">
        <f t="shared" ref="A23:A25" si="15">A22+1</f>
        <v>18</v>
      </c>
      <c r="B23" s="333" t="s">
        <v>560</v>
      </c>
      <c r="C23" s="333" t="s">
        <v>280</v>
      </c>
      <c r="D23" s="27">
        <v>0</v>
      </c>
      <c r="E23" s="27" t="s">
        <v>6</v>
      </c>
      <c r="F23" s="29">
        <f t="shared" si="13"/>
        <v>99061975</v>
      </c>
      <c r="G23" s="27">
        <f t="shared" si="14"/>
        <v>6.9999999999999993E-2</v>
      </c>
      <c r="H23" s="4">
        <f t="shared" si="11"/>
        <v>6934338.2499999991</v>
      </c>
      <c r="I23" s="4">
        <f t="shared" ref="I23:I25" si="16">H23*D23</f>
        <v>0</v>
      </c>
      <c r="J23" s="57">
        <f t="shared" si="12"/>
        <v>0</v>
      </c>
    </row>
    <row r="24" spans="1:15" x14ac:dyDescent="0.25">
      <c r="A24" s="92">
        <f t="shared" si="15"/>
        <v>19</v>
      </c>
      <c r="B24" s="333" t="s">
        <v>560</v>
      </c>
      <c r="C24" s="333" t="s">
        <v>279</v>
      </c>
      <c r="D24" s="27">
        <v>0</v>
      </c>
      <c r="E24" s="27" t="s">
        <v>58</v>
      </c>
      <c r="F24" s="29">
        <f t="shared" si="13"/>
        <v>99061975</v>
      </c>
      <c r="G24" s="27">
        <f t="shared" si="14"/>
        <v>6.9999999999999993E-2</v>
      </c>
      <c r="H24" s="4">
        <f t="shared" si="11"/>
        <v>6934338.2499999991</v>
      </c>
      <c r="I24" s="4">
        <f t="shared" si="16"/>
        <v>0</v>
      </c>
      <c r="J24" s="57">
        <f t="shared" si="12"/>
        <v>0</v>
      </c>
    </row>
    <row r="25" spans="1:15" x14ac:dyDescent="0.25">
      <c r="A25" s="92">
        <f t="shared" si="15"/>
        <v>20</v>
      </c>
      <c r="B25" s="333" t="s">
        <v>560</v>
      </c>
      <c r="C25" s="333" t="s">
        <v>137</v>
      </c>
      <c r="D25" s="27">
        <v>0</v>
      </c>
      <c r="E25" s="27" t="s">
        <v>604</v>
      </c>
      <c r="F25" s="29">
        <f t="shared" si="13"/>
        <v>99061975</v>
      </c>
      <c r="G25" s="27">
        <f t="shared" si="14"/>
        <v>6.9999999999999993E-2</v>
      </c>
      <c r="H25" s="4">
        <f t="shared" si="11"/>
        <v>6934338.2499999991</v>
      </c>
      <c r="I25" s="4">
        <f t="shared" si="16"/>
        <v>0</v>
      </c>
      <c r="J25" s="57">
        <f t="shared" si="12"/>
        <v>0</v>
      </c>
    </row>
    <row r="26" spans="1:15" x14ac:dyDescent="0.25">
      <c r="B26" s="272"/>
      <c r="D26" s="28"/>
      <c r="E26" s="28"/>
      <c r="F26" s="97"/>
      <c r="G26" s="4"/>
      <c r="H26" s="4"/>
    </row>
    <row r="27" spans="1:15" x14ac:dyDescent="0.25">
      <c r="A27" s="92">
        <f>A25+1</f>
        <v>21</v>
      </c>
      <c r="B27" s="333" t="s">
        <v>559</v>
      </c>
      <c r="C27" s="333" t="s">
        <v>134</v>
      </c>
      <c r="D27" s="27">
        <v>1.4999999999999999E-2</v>
      </c>
      <c r="E27" s="27" t="s">
        <v>604</v>
      </c>
      <c r="F27" s="29">
        <v>1675163442</v>
      </c>
      <c r="G27" s="27">
        <v>0.12770000000000001</v>
      </c>
      <c r="H27" s="4">
        <f t="shared" ref="H27:H31" si="17">G27*F27</f>
        <v>213918371.54340002</v>
      </c>
      <c r="I27" s="4">
        <f>H27</f>
        <v>213918371.54340002</v>
      </c>
      <c r="J27" s="57">
        <f t="shared" ref="J27:J31" si="18">IF(C27="Long Options",D27*H27,0)</f>
        <v>3208775.5731510003</v>
      </c>
      <c r="M27" s="23"/>
    </row>
    <row r="28" spans="1:15" x14ac:dyDescent="0.25">
      <c r="A28" s="92">
        <f>A27+1</f>
        <v>22</v>
      </c>
      <c r="B28" s="333" t="s">
        <v>559</v>
      </c>
      <c r="C28" s="92" t="s">
        <v>136</v>
      </c>
      <c r="D28" s="338">
        <v>3</v>
      </c>
      <c r="E28" s="27" t="s">
        <v>604</v>
      </c>
      <c r="F28" s="29">
        <v>1675163442</v>
      </c>
      <c r="G28" s="27">
        <v>0.12770000000000001</v>
      </c>
      <c r="H28" s="4">
        <f t="shared" si="17"/>
        <v>213918371.54340002</v>
      </c>
      <c r="I28" s="4">
        <f>H28*D28</f>
        <v>641755114.63020003</v>
      </c>
      <c r="J28" s="57">
        <f t="shared" si="18"/>
        <v>0</v>
      </c>
    </row>
    <row r="29" spans="1:15" x14ac:dyDescent="0.25">
      <c r="A29" s="92">
        <f t="shared" ref="A29:A31" si="19">A28+1</f>
        <v>23</v>
      </c>
      <c r="B29" s="333" t="s">
        <v>559</v>
      </c>
      <c r="C29" s="333" t="s">
        <v>280</v>
      </c>
      <c r="D29" s="27">
        <v>0.6</v>
      </c>
      <c r="E29" s="27" t="s">
        <v>6</v>
      </c>
      <c r="F29" s="29">
        <v>1675163442</v>
      </c>
      <c r="G29" s="27">
        <v>0.12770000000000001</v>
      </c>
      <c r="H29" s="4">
        <f t="shared" si="17"/>
        <v>213918371.54340002</v>
      </c>
      <c r="I29" s="4">
        <f t="shared" ref="I29:I31" si="20">H29*D29</f>
        <v>128351022.92604001</v>
      </c>
      <c r="J29" s="57">
        <f t="shared" si="18"/>
        <v>0</v>
      </c>
      <c r="L29" s="333" t="s">
        <v>602</v>
      </c>
    </row>
    <row r="30" spans="1:15" x14ac:dyDescent="0.25">
      <c r="A30" s="92">
        <f t="shared" si="19"/>
        <v>24</v>
      </c>
      <c r="B30" s="333" t="s">
        <v>559</v>
      </c>
      <c r="C30" s="333" t="s">
        <v>279</v>
      </c>
      <c r="D30" s="27">
        <v>0.4</v>
      </c>
      <c r="E30" s="27" t="s">
        <v>58</v>
      </c>
      <c r="F30" s="29">
        <v>1675163442</v>
      </c>
      <c r="G30" s="27">
        <v>0.12770000000000001</v>
      </c>
      <c r="H30" s="4">
        <f t="shared" si="17"/>
        <v>213918371.54340002</v>
      </c>
      <c r="I30" s="4">
        <f t="shared" si="20"/>
        <v>85567348.617360011</v>
      </c>
      <c r="J30" s="57">
        <f t="shared" si="18"/>
        <v>0</v>
      </c>
    </row>
    <row r="31" spans="1:15" x14ac:dyDescent="0.25">
      <c r="A31" s="92">
        <f t="shared" si="19"/>
        <v>25</v>
      </c>
      <c r="B31" s="333" t="s">
        <v>559</v>
      </c>
      <c r="C31" s="333" t="s">
        <v>137</v>
      </c>
      <c r="D31" s="27">
        <v>0.6</v>
      </c>
      <c r="E31" s="27" t="s">
        <v>604</v>
      </c>
      <c r="F31" s="29">
        <v>1675163442</v>
      </c>
      <c r="G31" s="27">
        <v>0.12770000000000001</v>
      </c>
      <c r="H31" s="4">
        <f t="shared" si="17"/>
        <v>213918371.54340002</v>
      </c>
      <c r="I31" s="4">
        <f t="shared" si="20"/>
        <v>128351022.92604001</v>
      </c>
      <c r="J31" s="57">
        <f t="shared" si="18"/>
        <v>0</v>
      </c>
    </row>
    <row r="32" spans="1:15" x14ac:dyDescent="0.25">
      <c r="C32" s="108"/>
      <c r="D32" s="28"/>
      <c r="E32" s="28"/>
      <c r="F32" s="29"/>
      <c r="G32" s="4"/>
      <c r="H32" s="4"/>
      <c r="J32" s="97"/>
      <c r="L32" s="4"/>
    </row>
    <row r="33" spans="1:12" x14ac:dyDescent="0.25">
      <c r="A33" s="92">
        <f>A31+1</f>
        <v>26</v>
      </c>
      <c r="B33" s="333" t="s">
        <v>438</v>
      </c>
      <c r="C33" s="333" t="s">
        <v>134</v>
      </c>
      <c r="D33" s="27">
        <v>1.4999999999999999E-2</v>
      </c>
      <c r="E33" s="27" t="s">
        <v>604</v>
      </c>
      <c r="F33" s="29">
        <v>1444907803</v>
      </c>
      <c r="G33" s="27">
        <v>0.12770000000000001</v>
      </c>
      <c r="H33" s="4">
        <f t="shared" ref="H33:H37" si="21">G33*F33</f>
        <v>184514726.44310001</v>
      </c>
      <c r="I33" s="4">
        <f>H33</f>
        <v>184514726.44310001</v>
      </c>
      <c r="J33" s="57">
        <f t="shared" ref="J33:J37" si="22">IF(C33="Long Options",D33*H33,0)</f>
        <v>2767720.8966465001</v>
      </c>
      <c r="L33" s="4"/>
    </row>
    <row r="34" spans="1:12" x14ac:dyDescent="0.25">
      <c r="A34" s="92">
        <f>A33+1</f>
        <v>27</v>
      </c>
      <c r="B34" s="333" t="s">
        <v>438</v>
      </c>
      <c r="C34" s="92" t="s">
        <v>136</v>
      </c>
      <c r="D34" s="338">
        <v>3</v>
      </c>
      <c r="E34" s="27" t="s">
        <v>604</v>
      </c>
      <c r="F34" s="29">
        <v>1444907803</v>
      </c>
      <c r="G34" s="27">
        <v>0.12770000000000001</v>
      </c>
      <c r="H34" s="4">
        <f t="shared" si="21"/>
        <v>184514726.44310001</v>
      </c>
      <c r="I34" s="4">
        <f>H34*D34</f>
        <v>553544179.32930005</v>
      </c>
      <c r="J34" s="57">
        <f t="shared" si="22"/>
        <v>0</v>
      </c>
    </row>
    <row r="35" spans="1:12" x14ac:dyDescent="0.25">
      <c r="A35" s="92">
        <f t="shared" ref="A35:A37" si="23">A34+1</f>
        <v>28</v>
      </c>
      <c r="B35" s="333" t="s">
        <v>438</v>
      </c>
      <c r="C35" s="333" t="s">
        <v>280</v>
      </c>
      <c r="D35" s="27">
        <v>0.6</v>
      </c>
      <c r="E35" s="27" t="s">
        <v>6</v>
      </c>
      <c r="F35" s="29">
        <v>1444907803</v>
      </c>
      <c r="G35" s="27">
        <v>0.12770000000000001</v>
      </c>
      <c r="H35" s="4">
        <f t="shared" si="21"/>
        <v>184514726.44310001</v>
      </c>
      <c r="I35" s="4">
        <f t="shared" ref="I35:I37" si="24">H35*D35</f>
        <v>110708835.86586</v>
      </c>
      <c r="J35" s="57">
        <f t="shared" si="22"/>
        <v>0</v>
      </c>
    </row>
    <row r="36" spans="1:12" x14ac:dyDescent="0.25">
      <c r="A36" s="92">
        <f t="shared" si="23"/>
        <v>29</v>
      </c>
      <c r="B36" s="333" t="s">
        <v>438</v>
      </c>
      <c r="C36" s="333" t="s">
        <v>279</v>
      </c>
      <c r="D36" s="27">
        <v>0.4</v>
      </c>
      <c r="E36" s="27" t="s">
        <v>58</v>
      </c>
      <c r="F36" s="29">
        <v>1444907803</v>
      </c>
      <c r="G36" s="27">
        <v>0.12770000000000001</v>
      </c>
      <c r="H36" s="4">
        <f t="shared" si="21"/>
        <v>184514726.44310001</v>
      </c>
      <c r="I36" s="4">
        <f t="shared" si="24"/>
        <v>73805890.577240005</v>
      </c>
      <c r="J36" s="57">
        <f t="shared" si="22"/>
        <v>0</v>
      </c>
    </row>
    <row r="37" spans="1:12" x14ac:dyDescent="0.25">
      <c r="A37" s="92">
        <f t="shared" si="23"/>
        <v>30</v>
      </c>
      <c r="B37" s="333" t="s">
        <v>438</v>
      </c>
      <c r="C37" s="333" t="s">
        <v>137</v>
      </c>
      <c r="D37" s="27">
        <v>0.6</v>
      </c>
      <c r="E37" s="27" t="s">
        <v>604</v>
      </c>
      <c r="F37" s="29">
        <v>1444907803</v>
      </c>
      <c r="G37" s="27">
        <v>0.12770000000000001</v>
      </c>
      <c r="H37" s="4">
        <f t="shared" si="21"/>
        <v>184514726.44310001</v>
      </c>
      <c r="I37" s="4">
        <f t="shared" si="24"/>
        <v>110708835.86586</v>
      </c>
      <c r="J37" s="57">
        <f t="shared" si="22"/>
        <v>0</v>
      </c>
    </row>
    <row r="38" spans="1:12" x14ac:dyDescent="0.25">
      <c r="B38" s="239"/>
      <c r="C38" s="108"/>
      <c r="D38" s="28"/>
      <c r="E38" s="28"/>
      <c r="F38" s="4"/>
      <c r="G38" s="4"/>
      <c r="H38" s="4"/>
      <c r="I38" s="55"/>
      <c r="J38" s="97"/>
    </row>
    <row r="39" spans="1:12" x14ac:dyDescent="0.25">
      <c r="A39" s="92">
        <f>A37+1</f>
        <v>31</v>
      </c>
      <c r="B39" s="333" t="s">
        <v>138</v>
      </c>
      <c r="C39" s="333" t="s">
        <v>134</v>
      </c>
      <c r="D39" s="27">
        <v>1.4999999999999999E-2</v>
      </c>
      <c r="E39" s="27" t="s">
        <v>604</v>
      </c>
      <c r="F39" s="29">
        <v>192933020</v>
      </c>
      <c r="G39" s="27">
        <v>0.6</v>
      </c>
      <c r="H39" s="4">
        <f t="shared" ref="H39:H43" si="25">G39*F39</f>
        <v>115759812</v>
      </c>
      <c r="I39" s="4">
        <f>H39</f>
        <v>115759812</v>
      </c>
      <c r="J39" s="57">
        <f t="shared" ref="J39:J43" si="26">IF(C39="Long Options",D39*H39,0)</f>
        <v>1736397.18</v>
      </c>
    </row>
    <row r="40" spans="1:12" x14ac:dyDescent="0.25">
      <c r="A40" s="92">
        <f>A39+1</f>
        <v>32</v>
      </c>
      <c r="B40" s="333" t="s">
        <v>138</v>
      </c>
      <c r="C40" s="92" t="s">
        <v>136</v>
      </c>
      <c r="D40" s="338">
        <v>2</v>
      </c>
      <c r="E40" s="27" t="s">
        <v>604</v>
      </c>
      <c r="F40" s="29">
        <v>192933020</v>
      </c>
      <c r="G40" s="27">
        <v>0.6</v>
      </c>
      <c r="H40" s="4">
        <f t="shared" si="25"/>
        <v>115759812</v>
      </c>
      <c r="I40" s="4">
        <f>H40*D40</f>
        <v>231519624</v>
      </c>
      <c r="J40" s="57">
        <f t="shared" si="26"/>
        <v>0</v>
      </c>
    </row>
    <row r="41" spans="1:12" x14ac:dyDescent="0.25">
      <c r="A41" s="92">
        <f t="shared" ref="A41:A43" si="27">A40+1</f>
        <v>33</v>
      </c>
      <c r="B41" s="333" t="s">
        <v>138</v>
      </c>
      <c r="C41" s="333" t="s">
        <v>280</v>
      </c>
      <c r="D41" s="27">
        <v>0.6</v>
      </c>
      <c r="E41" s="27" t="s">
        <v>6</v>
      </c>
      <c r="F41" s="29">
        <v>192933020</v>
      </c>
      <c r="G41" s="27">
        <v>0.6</v>
      </c>
      <c r="H41" s="4">
        <f t="shared" si="25"/>
        <v>115759812</v>
      </c>
      <c r="I41" s="4">
        <f t="shared" ref="I41:I43" si="28">H41*D41</f>
        <v>69455887.200000003</v>
      </c>
      <c r="J41" s="57">
        <f t="shared" si="26"/>
        <v>0</v>
      </c>
    </row>
    <row r="42" spans="1:12" x14ac:dyDescent="0.25">
      <c r="A42" s="92">
        <f t="shared" si="27"/>
        <v>34</v>
      </c>
      <c r="B42" s="333" t="s">
        <v>138</v>
      </c>
      <c r="C42" s="333" t="s">
        <v>279</v>
      </c>
      <c r="D42" s="27">
        <v>0</v>
      </c>
      <c r="E42" s="27" t="s">
        <v>58</v>
      </c>
      <c r="F42" s="29">
        <v>192933020</v>
      </c>
      <c r="G42" s="27">
        <v>0.6</v>
      </c>
      <c r="H42" s="4">
        <f t="shared" si="25"/>
        <v>115759812</v>
      </c>
      <c r="I42" s="4">
        <f t="shared" si="28"/>
        <v>0</v>
      </c>
      <c r="J42" s="57">
        <f t="shared" si="26"/>
        <v>0</v>
      </c>
    </row>
    <row r="43" spans="1:12" x14ac:dyDescent="0.25">
      <c r="A43" s="92">
        <f t="shared" si="27"/>
        <v>35</v>
      </c>
      <c r="B43" s="333" t="s">
        <v>138</v>
      </c>
      <c r="C43" s="333" t="s">
        <v>137</v>
      </c>
      <c r="D43" s="27">
        <v>0.6</v>
      </c>
      <c r="E43" s="27" t="s">
        <v>604</v>
      </c>
      <c r="F43" s="29">
        <v>192933020</v>
      </c>
      <c r="G43" s="27">
        <v>0.6</v>
      </c>
      <c r="H43" s="4">
        <f t="shared" si="25"/>
        <v>115759812</v>
      </c>
      <c r="I43" s="4">
        <f t="shared" si="28"/>
        <v>69455887.200000003</v>
      </c>
      <c r="J43" s="57">
        <f t="shared" si="26"/>
        <v>0</v>
      </c>
    </row>
    <row r="44" spans="1:12" x14ac:dyDescent="0.25">
      <c r="B44" s="239"/>
      <c r="C44" s="108"/>
      <c r="D44" s="28"/>
      <c r="E44" s="28"/>
      <c r="F44" s="287"/>
      <c r="G44" s="4"/>
    </row>
    <row r="45" spans="1:12" x14ac:dyDescent="0.25">
      <c r="A45" s="92">
        <f>A43+1</f>
        <v>36</v>
      </c>
      <c r="B45" s="333" t="s">
        <v>577</v>
      </c>
      <c r="C45" s="333" t="s">
        <v>134</v>
      </c>
      <c r="D45" s="27">
        <v>2.5000000000000001E-2</v>
      </c>
      <c r="E45" s="27" t="s">
        <v>604</v>
      </c>
      <c r="F45" s="29">
        <f>325741862+325763965</f>
        <v>651505827</v>
      </c>
      <c r="G45" s="27">
        <v>0.35759999999999997</v>
      </c>
      <c r="H45" s="4">
        <f t="shared" ref="H45:H49" si="29">G45*F45</f>
        <v>232978483.73519999</v>
      </c>
      <c r="I45" s="4">
        <f>H45</f>
        <v>232978483.73519999</v>
      </c>
      <c r="J45" s="57">
        <f t="shared" ref="J45:J49" si="30">IF(C45="Long Options",D45*H45,0)</f>
        <v>5824462.0933800004</v>
      </c>
    </row>
    <row r="46" spans="1:12" x14ac:dyDescent="0.25">
      <c r="A46" s="92">
        <f>A45+1</f>
        <v>37</v>
      </c>
      <c r="B46" s="333" t="s">
        <v>577</v>
      </c>
      <c r="C46" s="92" t="s">
        <v>136</v>
      </c>
      <c r="D46" s="338">
        <v>3.34</v>
      </c>
      <c r="E46" s="27" t="s">
        <v>604</v>
      </c>
      <c r="F46" s="29">
        <f t="shared" ref="F46:F49" si="31">325741862+325763965</f>
        <v>651505827</v>
      </c>
      <c r="G46" s="27">
        <v>0.35759999999999997</v>
      </c>
      <c r="H46" s="4">
        <f t="shared" si="29"/>
        <v>232978483.73519999</v>
      </c>
      <c r="I46" s="4">
        <f>H46*D46</f>
        <v>778148135.67556798</v>
      </c>
      <c r="J46" s="57">
        <f t="shared" si="30"/>
        <v>0</v>
      </c>
    </row>
    <row r="47" spans="1:12" x14ac:dyDescent="0.25">
      <c r="A47" s="92">
        <f t="shared" ref="A47:A49" si="32">A46+1</f>
        <v>38</v>
      </c>
      <c r="B47" s="333" t="s">
        <v>577</v>
      </c>
      <c r="C47" s="333" t="s">
        <v>280</v>
      </c>
      <c r="D47" s="27">
        <f>60%*1.17</f>
        <v>0.70199999999999996</v>
      </c>
      <c r="E47" s="27" t="s">
        <v>6</v>
      </c>
      <c r="F47" s="29">
        <f t="shared" si="31"/>
        <v>651505827</v>
      </c>
      <c r="G47" s="27">
        <v>0.35759999999999997</v>
      </c>
      <c r="H47" s="4">
        <f t="shared" si="29"/>
        <v>232978483.73519999</v>
      </c>
      <c r="I47" s="4">
        <f t="shared" ref="I47:I49" si="33">H47*D47</f>
        <v>163550895.58211038</v>
      </c>
      <c r="J47" s="57">
        <f t="shared" si="30"/>
        <v>0</v>
      </c>
      <c r="L47" s="57"/>
    </row>
    <row r="48" spans="1:12" x14ac:dyDescent="0.25">
      <c r="A48" s="92">
        <f t="shared" si="32"/>
        <v>39</v>
      </c>
      <c r="B48" s="333" t="s">
        <v>577</v>
      </c>
      <c r="C48" s="333" t="s">
        <v>279</v>
      </c>
      <c r="D48" s="27">
        <f>40%*1.17</f>
        <v>0.46799999999999997</v>
      </c>
      <c r="E48" s="27" t="s">
        <v>58</v>
      </c>
      <c r="F48" s="29">
        <f t="shared" si="31"/>
        <v>651505827</v>
      </c>
      <c r="G48" s="27">
        <v>0.35759999999999997</v>
      </c>
      <c r="H48" s="4">
        <f t="shared" si="29"/>
        <v>232978483.73519999</v>
      </c>
      <c r="I48" s="4">
        <f t="shared" si="33"/>
        <v>109033930.38807359</v>
      </c>
      <c r="J48" s="57">
        <f t="shared" si="30"/>
        <v>0</v>
      </c>
      <c r="L48" s="57"/>
    </row>
    <row r="49" spans="1:10" x14ac:dyDescent="0.25">
      <c r="A49" s="92">
        <f t="shared" si="32"/>
        <v>40</v>
      </c>
      <c r="B49" s="333" t="s">
        <v>577</v>
      </c>
      <c r="C49" s="333" t="s">
        <v>137</v>
      </c>
      <c r="D49" s="27">
        <f>60%*1.17</f>
        <v>0.70199999999999996</v>
      </c>
      <c r="E49" s="27" t="s">
        <v>604</v>
      </c>
      <c r="F49" s="29">
        <f t="shared" si="31"/>
        <v>651505827</v>
      </c>
      <c r="G49" s="27">
        <v>0.35759999999999997</v>
      </c>
      <c r="H49" s="4">
        <f t="shared" si="29"/>
        <v>232978483.73519999</v>
      </c>
      <c r="I49" s="4">
        <f t="shared" si="33"/>
        <v>163550895.58211038</v>
      </c>
      <c r="J49" s="57">
        <f t="shared" si="30"/>
        <v>0</v>
      </c>
    </row>
    <row r="51" spans="1:10" x14ac:dyDescent="0.25">
      <c r="A51" s="92">
        <f>A49+1</f>
        <v>41</v>
      </c>
      <c r="B51" s="333" t="s">
        <v>578</v>
      </c>
      <c r="C51" s="333" t="s">
        <v>134</v>
      </c>
      <c r="D51" s="27">
        <v>0</v>
      </c>
      <c r="E51" s="27" t="s">
        <v>604</v>
      </c>
      <c r="F51" s="29">
        <v>0</v>
      </c>
      <c r="G51" s="27">
        <v>1</v>
      </c>
      <c r="H51" s="4">
        <f t="shared" ref="H51:H55" si="34">G51*F51</f>
        <v>0</v>
      </c>
      <c r="I51" s="4">
        <f>H51</f>
        <v>0</v>
      </c>
      <c r="J51" s="57">
        <f t="shared" ref="J51:J55" si="35">IF(C51="Long Options",D51*H51,0)</f>
        <v>0</v>
      </c>
    </row>
    <row r="52" spans="1:10" x14ac:dyDescent="0.25">
      <c r="A52" s="92">
        <f>A51+1</f>
        <v>42</v>
      </c>
      <c r="B52" s="333" t="s">
        <v>578</v>
      </c>
      <c r="C52" s="92" t="s">
        <v>136</v>
      </c>
      <c r="D52" s="338">
        <v>0</v>
      </c>
      <c r="E52" s="27" t="s">
        <v>604</v>
      </c>
      <c r="F52" s="29">
        <v>0</v>
      </c>
      <c r="G52" s="27">
        <v>1</v>
      </c>
      <c r="H52" s="4">
        <f t="shared" si="34"/>
        <v>0</v>
      </c>
      <c r="I52" s="4">
        <f>H52*D52</f>
        <v>0</v>
      </c>
      <c r="J52" s="57">
        <f t="shared" si="35"/>
        <v>0</v>
      </c>
    </row>
    <row r="53" spans="1:10" x14ac:dyDescent="0.25">
      <c r="A53" s="92">
        <f t="shared" ref="A53:A55" si="36">A52+1</f>
        <v>43</v>
      </c>
      <c r="B53" s="333" t="s">
        <v>578</v>
      </c>
      <c r="C53" s="333" t="s">
        <v>280</v>
      </c>
      <c r="D53" s="27">
        <v>0</v>
      </c>
      <c r="E53" s="27" t="s">
        <v>6</v>
      </c>
      <c r="F53" s="29">
        <v>0</v>
      </c>
      <c r="G53" s="27">
        <v>1</v>
      </c>
      <c r="H53" s="4">
        <f t="shared" si="34"/>
        <v>0</v>
      </c>
      <c r="I53" s="4">
        <f t="shared" ref="I53:I55" si="37">H53*D53</f>
        <v>0</v>
      </c>
      <c r="J53" s="57">
        <f t="shared" si="35"/>
        <v>0</v>
      </c>
    </row>
    <row r="54" spans="1:10" x14ac:dyDescent="0.25">
      <c r="A54" s="92">
        <f t="shared" si="36"/>
        <v>44</v>
      </c>
      <c r="B54" s="333" t="s">
        <v>578</v>
      </c>
      <c r="C54" s="333" t="s">
        <v>279</v>
      </c>
      <c r="D54" s="27">
        <v>0</v>
      </c>
      <c r="E54" s="27" t="s">
        <v>58</v>
      </c>
      <c r="F54" s="29">
        <v>0</v>
      </c>
      <c r="G54" s="27">
        <v>1</v>
      </c>
      <c r="H54" s="4">
        <f t="shared" si="34"/>
        <v>0</v>
      </c>
      <c r="I54" s="4">
        <f t="shared" si="37"/>
        <v>0</v>
      </c>
      <c r="J54" s="57">
        <f t="shared" si="35"/>
        <v>0</v>
      </c>
    </row>
    <row r="55" spans="1:10" x14ac:dyDescent="0.25">
      <c r="A55" s="92">
        <f t="shared" si="36"/>
        <v>45</v>
      </c>
      <c r="B55" s="333" t="s">
        <v>578</v>
      </c>
      <c r="C55" s="333" t="s">
        <v>137</v>
      </c>
      <c r="D55" s="27">
        <v>0</v>
      </c>
      <c r="E55" s="27" t="s">
        <v>604</v>
      </c>
      <c r="F55" s="29">
        <v>0</v>
      </c>
      <c r="G55" s="27">
        <v>1</v>
      </c>
      <c r="H55" s="4">
        <f t="shared" si="34"/>
        <v>0</v>
      </c>
      <c r="I55" s="4">
        <f t="shared" si="37"/>
        <v>0</v>
      </c>
      <c r="J55" s="57">
        <f t="shared" si="35"/>
        <v>0</v>
      </c>
    </row>
  </sheetData>
  <autoFilter ref="A2:J55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U58"/>
  <sheetViews>
    <sheetView workbookViewId="0">
      <selection activeCell="K3" sqref="K3"/>
    </sheetView>
  </sheetViews>
  <sheetFormatPr defaultColWidth="9.140625" defaultRowHeight="15" x14ac:dyDescent="0.25"/>
  <cols>
    <col min="1" max="1" width="15.7109375" style="3" bestFit="1" customWidth="1"/>
    <col min="2" max="2" width="31.28515625" style="3" bestFit="1" customWidth="1"/>
    <col min="3" max="3" width="9.28515625" style="3" bestFit="1" customWidth="1"/>
    <col min="4" max="4" width="8.7109375" style="3" bestFit="1" customWidth="1"/>
    <col min="5" max="5" width="11" style="3" bestFit="1" customWidth="1"/>
    <col min="6" max="6" width="8.28515625" style="3" bestFit="1" customWidth="1"/>
    <col min="7" max="7" width="11.7109375" style="3" bestFit="1" customWidth="1"/>
    <col min="8" max="8" width="24.140625" style="3" bestFit="1" customWidth="1"/>
    <col min="9" max="10" width="12" style="3" bestFit="1" customWidth="1"/>
    <col min="11" max="11" width="16.42578125" style="3" bestFit="1" customWidth="1"/>
    <col min="12" max="12" width="13.5703125" style="3" bestFit="1" customWidth="1"/>
    <col min="13" max="13" width="12.7109375" style="3" bestFit="1" customWidth="1"/>
    <col min="14" max="14" width="15.42578125" style="3" bestFit="1" customWidth="1"/>
    <col min="15" max="16384" width="9.140625" style="3"/>
  </cols>
  <sheetData>
    <row r="1" spans="1:21" x14ac:dyDescent="0.25">
      <c r="A1" s="23" t="s">
        <v>98</v>
      </c>
    </row>
    <row r="2" spans="1:21" x14ac:dyDescent="0.25">
      <c r="K2" s="57"/>
    </row>
    <row r="3" spans="1:21" x14ac:dyDescent="0.25">
      <c r="A3" s="3" t="s">
        <v>80</v>
      </c>
      <c r="B3" s="3" t="s">
        <v>81</v>
      </c>
      <c r="C3" s="3" t="s">
        <v>82</v>
      </c>
      <c r="D3" s="3" t="s">
        <v>83</v>
      </c>
      <c r="E3" s="3" t="s">
        <v>84</v>
      </c>
      <c r="F3" s="3" t="s">
        <v>85</v>
      </c>
      <c r="G3" s="3" t="s">
        <v>86</v>
      </c>
      <c r="H3" s="3" t="s">
        <v>99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212" t="s">
        <v>386</v>
      </c>
    </row>
    <row r="4" spans="1:21" x14ac:dyDescent="0.25">
      <c r="A4" t="s">
        <v>238</v>
      </c>
      <c r="B4" t="s">
        <v>214</v>
      </c>
      <c r="C4" t="s">
        <v>92</v>
      </c>
      <c r="D4">
        <v>7200</v>
      </c>
      <c r="E4">
        <v>198.95</v>
      </c>
      <c r="F4" t="s">
        <v>93</v>
      </c>
      <c r="G4" t="s">
        <v>6</v>
      </c>
      <c r="H4" t="s">
        <v>256</v>
      </c>
      <c r="I4">
        <v>118.59999847412099</v>
      </c>
      <c r="J4">
        <v>1432440</v>
      </c>
      <c r="K4" s="79">
        <v>853919.98901367094</v>
      </c>
      <c r="L4" s="79">
        <v>-578520.01098632801</v>
      </c>
      <c r="M4">
        <v>-40.387032684533203</v>
      </c>
      <c r="N4" s="241" t="s">
        <v>387</v>
      </c>
    </row>
    <row r="5" spans="1:21" x14ac:dyDescent="0.25">
      <c r="A5" t="s">
        <v>97</v>
      </c>
      <c r="B5" t="s">
        <v>214</v>
      </c>
      <c r="C5" t="s">
        <v>92</v>
      </c>
      <c r="D5">
        <v>14100</v>
      </c>
      <c r="E5">
        <v>807.0127</v>
      </c>
      <c r="F5" t="s">
        <v>93</v>
      </c>
      <c r="G5" t="s">
        <v>6</v>
      </c>
      <c r="H5" t="s">
        <v>257</v>
      </c>
      <c r="I5">
        <v>759.25</v>
      </c>
      <c r="J5">
        <v>11378879.07</v>
      </c>
      <c r="K5" s="79">
        <v>10705425</v>
      </c>
      <c r="L5" s="79">
        <v>-673454.07</v>
      </c>
      <c r="M5">
        <v>-5.9184570453476102</v>
      </c>
      <c r="N5" s="241" t="s">
        <v>387</v>
      </c>
    </row>
    <row r="6" spans="1:21" x14ac:dyDescent="0.25">
      <c r="A6" t="s">
        <v>240</v>
      </c>
      <c r="B6" t="s">
        <v>214</v>
      </c>
      <c r="C6" t="s">
        <v>92</v>
      </c>
      <c r="D6">
        <v>3105</v>
      </c>
      <c r="E6">
        <v>363.4</v>
      </c>
      <c r="F6" t="s">
        <v>93</v>
      </c>
      <c r="G6" t="s">
        <v>6</v>
      </c>
      <c r="H6" t="s">
        <v>256</v>
      </c>
      <c r="I6">
        <v>386.2</v>
      </c>
      <c r="J6">
        <v>1128357</v>
      </c>
      <c r="K6" s="79">
        <v>1199151</v>
      </c>
      <c r="L6" s="79">
        <v>70794</v>
      </c>
      <c r="M6">
        <v>6.2740781507980197</v>
      </c>
      <c r="N6" s="241" t="s">
        <v>387</v>
      </c>
    </row>
    <row r="7" spans="1:21" x14ac:dyDescent="0.25">
      <c r="A7" t="s">
        <v>243</v>
      </c>
      <c r="B7" t="s">
        <v>214</v>
      </c>
      <c r="C7" t="s">
        <v>92</v>
      </c>
      <c r="D7">
        <v>4108</v>
      </c>
      <c r="E7">
        <v>475.15</v>
      </c>
      <c r="F7" t="s">
        <v>93</v>
      </c>
      <c r="G7" t="s">
        <v>6</v>
      </c>
      <c r="H7" t="s">
        <v>256</v>
      </c>
      <c r="I7">
        <v>447.15</v>
      </c>
      <c r="J7">
        <v>1951916.2</v>
      </c>
      <c r="K7" s="79">
        <v>1836892.2</v>
      </c>
      <c r="L7" s="79">
        <v>-115024</v>
      </c>
      <c r="M7">
        <v>-5.8928759339156001</v>
      </c>
      <c r="N7" s="241" t="s">
        <v>387</v>
      </c>
    </row>
    <row r="8" spans="1:21" x14ac:dyDescent="0.25">
      <c r="A8" t="s">
        <v>246</v>
      </c>
      <c r="B8" t="s">
        <v>214</v>
      </c>
      <c r="C8" t="s">
        <v>92</v>
      </c>
      <c r="D8">
        <v>932</v>
      </c>
      <c r="E8">
        <v>1730.5</v>
      </c>
      <c r="F8" t="s">
        <v>93</v>
      </c>
      <c r="G8" t="s">
        <v>6</v>
      </c>
      <c r="H8" t="s">
        <v>256</v>
      </c>
      <c r="I8">
        <v>1504.8</v>
      </c>
      <c r="J8">
        <v>1612826</v>
      </c>
      <c r="K8" s="79">
        <v>1402473.5999999901</v>
      </c>
      <c r="L8" s="79">
        <v>-210352.4</v>
      </c>
      <c r="M8">
        <v>-13.042473273620301</v>
      </c>
      <c r="N8" s="241" t="s">
        <v>387</v>
      </c>
    </row>
    <row r="9" spans="1:21" x14ac:dyDescent="0.25">
      <c r="A9" t="s">
        <v>453</v>
      </c>
      <c r="B9" t="s">
        <v>214</v>
      </c>
      <c r="C9" t="s">
        <v>92</v>
      </c>
      <c r="D9">
        <v>250000</v>
      </c>
      <c r="E9">
        <v>19.05</v>
      </c>
      <c r="F9" t="s">
        <v>93</v>
      </c>
      <c r="G9" t="s">
        <v>6</v>
      </c>
      <c r="H9" t="s">
        <v>432</v>
      </c>
      <c r="I9">
        <v>13.4</v>
      </c>
      <c r="J9">
        <v>4762500</v>
      </c>
      <c r="K9" s="79">
        <v>3350000</v>
      </c>
      <c r="L9" s="79">
        <v>-1412500</v>
      </c>
      <c r="M9">
        <v>-29.658792650918599</v>
      </c>
      <c r="N9" s="241" t="s">
        <v>387</v>
      </c>
    </row>
    <row r="10" spans="1:21" x14ac:dyDescent="0.25">
      <c r="A10" t="s">
        <v>231</v>
      </c>
      <c r="B10" t="s">
        <v>214</v>
      </c>
      <c r="C10" t="s">
        <v>92</v>
      </c>
      <c r="D10">
        <v>9337</v>
      </c>
      <c r="E10">
        <v>284.25</v>
      </c>
      <c r="F10" t="s">
        <v>93</v>
      </c>
      <c r="G10" t="s">
        <v>6</v>
      </c>
      <c r="H10" t="s">
        <v>256</v>
      </c>
      <c r="I10">
        <v>239.85</v>
      </c>
      <c r="J10">
        <v>2654042.25</v>
      </c>
      <c r="K10" s="79">
        <v>2239479.4499999899</v>
      </c>
      <c r="L10" s="79">
        <v>-414562.8</v>
      </c>
      <c r="M10">
        <v>-15.620052770448501</v>
      </c>
      <c r="N10" s="241" t="s">
        <v>387</v>
      </c>
    </row>
    <row r="11" spans="1:21" x14ac:dyDescent="0.25">
      <c r="A11" t="s">
        <v>222</v>
      </c>
      <c r="B11" t="s">
        <v>214</v>
      </c>
      <c r="C11" t="s">
        <v>92</v>
      </c>
      <c r="D11">
        <v>1383</v>
      </c>
      <c r="E11">
        <v>1156.45</v>
      </c>
      <c r="F11" t="s">
        <v>93</v>
      </c>
      <c r="G11" t="s">
        <v>6</v>
      </c>
      <c r="H11" t="s">
        <v>256</v>
      </c>
      <c r="I11">
        <v>909</v>
      </c>
      <c r="J11">
        <v>1599370.35</v>
      </c>
      <c r="K11" s="79">
        <v>1257147</v>
      </c>
      <c r="L11" s="79">
        <v>-342223.35</v>
      </c>
      <c r="M11">
        <v>-21.397379912663698</v>
      </c>
      <c r="N11" s="241" t="s">
        <v>387</v>
      </c>
      <c r="R11"/>
      <c r="U11"/>
    </row>
    <row r="12" spans="1:21" x14ac:dyDescent="0.25">
      <c r="A12" t="s">
        <v>236</v>
      </c>
      <c r="B12" t="s">
        <v>214</v>
      </c>
      <c r="C12" t="s">
        <v>92</v>
      </c>
      <c r="D12">
        <v>4791</v>
      </c>
      <c r="E12">
        <v>292.7</v>
      </c>
      <c r="F12" t="s">
        <v>93</v>
      </c>
      <c r="G12" t="s">
        <v>6</v>
      </c>
      <c r="H12" t="s">
        <v>256</v>
      </c>
      <c r="I12">
        <v>240.9</v>
      </c>
      <c r="J12">
        <v>1402325.7</v>
      </c>
      <c r="K12" s="79">
        <v>1154151.8999999999</v>
      </c>
      <c r="L12" s="79">
        <v>-248173.799999999</v>
      </c>
      <c r="M12">
        <v>-17.697300990775499</v>
      </c>
      <c r="N12" s="241" t="s">
        <v>387</v>
      </c>
      <c r="R12"/>
      <c r="U12"/>
    </row>
    <row r="13" spans="1:21" x14ac:dyDescent="0.25">
      <c r="A13" t="s">
        <v>430</v>
      </c>
      <c r="B13" t="s">
        <v>255</v>
      </c>
      <c r="C13" t="s">
        <v>96</v>
      </c>
      <c r="D13">
        <v>6750</v>
      </c>
      <c r="E13">
        <v>492.15</v>
      </c>
      <c r="F13" t="s">
        <v>93</v>
      </c>
      <c r="G13" t="s">
        <v>6</v>
      </c>
      <c r="H13" t="s">
        <v>432</v>
      </c>
      <c r="I13">
        <v>394.55</v>
      </c>
      <c r="J13">
        <v>3322037.5</v>
      </c>
      <c r="K13" s="79">
        <v>2663212</v>
      </c>
      <c r="L13" s="79">
        <v>-658825</v>
      </c>
      <c r="M13">
        <v>-19.709393384371399</v>
      </c>
      <c r="N13" s="241" t="s">
        <v>389</v>
      </c>
      <c r="R13"/>
      <c r="U13"/>
    </row>
    <row r="14" spans="1:21" x14ac:dyDescent="0.25">
      <c r="A14" t="s">
        <v>446</v>
      </c>
      <c r="B14" t="s">
        <v>214</v>
      </c>
      <c r="C14" t="s">
        <v>92</v>
      </c>
      <c r="D14">
        <v>50000</v>
      </c>
      <c r="E14">
        <v>40.950000000000003</v>
      </c>
      <c r="F14" t="s">
        <v>93</v>
      </c>
      <c r="G14" t="s">
        <v>6</v>
      </c>
      <c r="H14" t="s">
        <v>432</v>
      </c>
      <c r="I14">
        <v>40.5</v>
      </c>
      <c r="J14">
        <v>2047500</v>
      </c>
      <c r="K14" s="79">
        <v>2025000</v>
      </c>
      <c r="L14" s="79">
        <v>-22500.0000000002</v>
      </c>
      <c r="M14">
        <v>-1.0989010989011001</v>
      </c>
      <c r="N14" s="241" t="s">
        <v>387</v>
      </c>
      <c r="R14"/>
      <c r="U14"/>
    </row>
    <row r="15" spans="1:21" x14ac:dyDescent="0.25">
      <c r="A15" t="s">
        <v>275</v>
      </c>
      <c r="B15" t="s">
        <v>214</v>
      </c>
      <c r="C15" t="s">
        <v>92</v>
      </c>
      <c r="D15">
        <v>50800</v>
      </c>
      <c r="E15">
        <v>131.44999999999999</v>
      </c>
      <c r="F15" t="s">
        <v>93</v>
      </c>
      <c r="G15" t="s">
        <v>58</v>
      </c>
      <c r="H15" t="s">
        <v>565</v>
      </c>
      <c r="I15">
        <v>121.19</v>
      </c>
      <c r="J15">
        <v>6677659.9999999898</v>
      </c>
      <c r="K15" s="79">
        <v>6156452</v>
      </c>
      <c r="L15" s="79">
        <v>-521207.99999999901</v>
      </c>
      <c r="M15">
        <v>-7.8052491441612704</v>
      </c>
      <c r="N15" s="241" t="s">
        <v>387</v>
      </c>
      <c r="R15"/>
      <c r="U15"/>
    </row>
    <row r="16" spans="1:21" x14ac:dyDescent="0.25">
      <c r="A16" t="s">
        <v>249</v>
      </c>
      <c r="B16" t="s">
        <v>214</v>
      </c>
      <c r="C16" t="s">
        <v>92</v>
      </c>
      <c r="D16">
        <v>1577</v>
      </c>
      <c r="E16">
        <v>1251.7</v>
      </c>
      <c r="F16" t="s">
        <v>93</v>
      </c>
      <c r="G16" t="s">
        <v>6</v>
      </c>
      <c r="H16" t="s">
        <v>256</v>
      </c>
      <c r="I16">
        <v>904.8</v>
      </c>
      <c r="J16">
        <v>1973930.9</v>
      </c>
      <c r="K16" s="79">
        <v>1426869.5999999901</v>
      </c>
      <c r="L16" s="79">
        <v>-547061.30000000005</v>
      </c>
      <c r="M16">
        <v>-27.714308540385002</v>
      </c>
      <c r="N16" s="241" t="s">
        <v>387</v>
      </c>
      <c r="R16"/>
      <c r="U16"/>
    </row>
    <row r="17" spans="1:21" x14ac:dyDescent="0.25">
      <c r="A17" t="s">
        <v>224</v>
      </c>
      <c r="B17" t="s">
        <v>214</v>
      </c>
      <c r="C17" t="s">
        <v>92</v>
      </c>
      <c r="D17">
        <v>316</v>
      </c>
      <c r="E17">
        <v>5913.9</v>
      </c>
      <c r="F17" t="s">
        <v>93</v>
      </c>
      <c r="G17" t="s">
        <v>6</v>
      </c>
      <c r="H17" t="s">
        <v>256</v>
      </c>
      <c r="I17">
        <v>5003</v>
      </c>
      <c r="J17">
        <v>1868792.4</v>
      </c>
      <c r="K17" s="79">
        <v>1580948</v>
      </c>
      <c r="L17" s="79">
        <v>-287844.39999999898</v>
      </c>
      <c r="M17">
        <v>-15.4026953448654</v>
      </c>
      <c r="N17" s="241" t="s">
        <v>387</v>
      </c>
      <c r="R17"/>
      <c r="U17"/>
    </row>
    <row r="18" spans="1:21" x14ac:dyDescent="0.25">
      <c r="A18" t="s">
        <v>94</v>
      </c>
      <c r="B18" t="s">
        <v>214</v>
      </c>
      <c r="C18" t="s">
        <v>92</v>
      </c>
      <c r="D18">
        <v>18132</v>
      </c>
      <c r="E18">
        <v>334.25</v>
      </c>
      <c r="F18" t="s">
        <v>93</v>
      </c>
      <c r="G18" t="s">
        <v>6</v>
      </c>
      <c r="H18" t="s">
        <v>257</v>
      </c>
      <c r="I18">
        <v>244.15</v>
      </c>
      <c r="J18">
        <v>6060621</v>
      </c>
      <c r="K18" s="79">
        <v>4426927.8</v>
      </c>
      <c r="L18" s="79">
        <v>-1633693.2</v>
      </c>
      <c r="M18">
        <v>-26.955871353777098</v>
      </c>
      <c r="N18" s="241" t="s">
        <v>387</v>
      </c>
      <c r="R18"/>
      <c r="U18"/>
    </row>
    <row r="19" spans="1:21" x14ac:dyDescent="0.25">
      <c r="A19" t="s">
        <v>237</v>
      </c>
      <c r="B19" t="s">
        <v>214</v>
      </c>
      <c r="C19" t="s">
        <v>92</v>
      </c>
      <c r="D19">
        <v>2216</v>
      </c>
      <c r="E19">
        <v>765.3</v>
      </c>
      <c r="F19" t="s">
        <v>93</v>
      </c>
      <c r="G19" t="s">
        <v>6</v>
      </c>
      <c r="H19" t="s">
        <v>256</v>
      </c>
      <c r="I19">
        <v>754.65</v>
      </c>
      <c r="J19">
        <v>1695904.79999999</v>
      </c>
      <c r="K19" s="79">
        <v>1672304.4</v>
      </c>
      <c r="L19" s="79">
        <v>-23600.3999999999</v>
      </c>
      <c r="M19">
        <v>-1.3916111328890599</v>
      </c>
      <c r="N19" s="241" t="s">
        <v>387</v>
      </c>
      <c r="R19"/>
      <c r="U19"/>
    </row>
    <row r="20" spans="1:21" x14ac:dyDescent="0.25">
      <c r="A20" t="s">
        <v>239</v>
      </c>
      <c r="B20" t="s">
        <v>214</v>
      </c>
      <c r="C20" t="s">
        <v>92</v>
      </c>
      <c r="D20">
        <v>9001</v>
      </c>
      <c r="E20">
        <v>292.55</v>
      </c>
      <c r="F20" t="s">
        <v>93</v>
      </c>
      <c r="G20" t="s">
        <v>6</v>
      </c>
      <c r="H20" t="s">
        <v>256</v>
      </c>
      <c r="I20">
        <v>289.39999999999998</v>
      </c>
      <c r="J20">
        <v>2633242.5499999998</v>
      </c>
      <c r="K20" s="79">
        <v>2604889.4</v>
      </c>
      <c r="L20" s="79">
        <v>-28353.1500000003</v>
      </c>
      <c r="M20">
        <v>-1.0767390189711199</v>
      </c>
      <c r="N20" s="241" t="s">
        <v>387</v>
      </c>
      <c r="R20"/>
      <c r="U20"/>
    </row>
    <row r="21" spans="1:21" x14ac:dyDescent="0.25">
      <c r="A21" t="s">
        <v>245</v>
      </c>
      <c r="B21" t="s">
        <v>214</v>
      </c>
      <c r="C21" t="s">
        <v>96</v>
      </c>
      <c r="D21">
        <v>2064</v>
      </c>
      <c r="E21">
        <v>1094.0999999999999</v>
      </c>
      <c r="F21" t="s">
        <v>93</v>
      </c>
      <c r="G21" t="s">
        <v>6</v>
      </c>
      <c r="H21" t="s">
        <v>256</v>
      </c>
      <c r="I21">
        <v>1306.3499999999999</v>
      </c>
      <c r="J21">
        <v>2258222.4</v>
      </c>
      <c r="K21" s="79">
        <v>2696306.4</v>
      </c>
      <c r="L21" s="79">
        <v>438084</v>
      </c>
      <c r="M21">
        <v>19.399506443652299</v>
      </c>
      <c r="N21" s="241" t="s">
        <v>387</v>
      </c>
      <c r="R21"/>
      <c r="U21"/>
    </row>
    <row r="22" spans="1:21" x14ac:dyDescent="0.25">
      <c r="A22" t="s">
        <v>241</v>
      </c>
      <c r="B22" t="s">
        <v>214</v>
      </c>
      <c r="C22" t="s">
        <v>92</v>
      </c>
      <c r="D22">
        <v>4625</v>
      </c>
      <c r="E22">
        <v>324.05</v>
      </c>
      <c r="F22" t="s">
        <v>93</v>
      </c>
      <c r="G22" t="s">
        <v>6</v>
      </c>
      <c r="H22" t="s">
        <v>256</v>
      </c>
      <c r="I22">
        <v>282.2</v>
      </c>
      <c r="J22">
        <v>1498731.25</v>
      </c>
      <c r="K22" s="79">
        <v>1305175</v>
      </c>
      <c r="L22" s="79">
        <v>-193556.25</v>
      </c>
      <c r="M22">
        <v>-12.914673661471999</v>
      </c>
      <c r="N22" s="241" t="s">
        <v>387</v>
      </c>
      <c r="R22"/>
      <c r="U22"/>
    </row>
    <row r="23" spans="1:21" x14ac:dyDescent="0.25">
      <c r="A23" t="s">
        <v>229</v>
      </c>
      <c r="B23" t="s">
        <v>214</v>
      </c>
      <c r="C23" t="s">
        <v>92</v>
      </c>
      <c r="D23">
        <v>3588</v>
      </c>
      <c r="E23">
        <v>469.4</v>
      </c>
      <c r="F23" t="s">
        <v>93</v>
      </c>
      <c r="G23" t="s">
        <v>6</v>
      </c>
      <c r="H23" t="s">
        <v>256</v>
      </c>
      <c r="I23">
        <v>470.65</v>
      </c>
      <c r="J23">
        <v>1684207.2</v>
      </c>
      <c r="K23" s="79">
        <v>1688692.2</v>
      </c>
      <c r="L23" s="79">
        <v>4485</v>
      </c>
      <c r="M23">
        <v>0.26629740093736598</v>
      </c>
      <c r="N23" s="241" t="s">
        <v>387</v>
      </c>
      <c r="R23"/>
      <c r="U23"/>
    </row>
    <row r="24" spans="1:21" x14ac:dyDescent="0.25">
      <c r="A24" t="s">
        <v>505</v>
      </c>
      <c r="B24" t="s">
        <v>214</v>
      </c>
      <c r="C24" t="s">
        <v>92</v>
      </c>
      <c r="D24">
        <v>5960</v>
      </c>
      <c r="E24">
        <v>1064</v>
      </c>
      <c r="F24" t="s">
        <v>93</v>
      </c>
      <c r="G24" t="s">
        <v>6</v>
      </c>
      <c r="H24" t="s">
        <v>432</v>
      </c>
      <c r="I24">
        <v>805.4</v>
      </c>
      <c r="J24">
        <v>6341440</v>
      </c>
      <c r="K24" s="79">
        <v>4800184</v>
      </c>
      <c r="L24" s="79">
        <v>-1541256</v>
      </c>
      <c r="M24">
        <v>-24.304511278195399</v>
      </c>
      <c r="N24" s="241" t="s">
        <v>387</v>
      </c>
      <c r="R24"/>
      <c r="U24"/>
    </row>
    <row r="25" spans="1:21" x14ac:dyDescent="0.25">
      <c r="A25" t="s">
        <v>483</v>
      </c>
      <c r="B25" t="s">
        <v>214</v>
      </c>
      <c r="C25" t="s">
        <v>92</v>
      </c>
      <c r="D25">
        <v>196400</v>
      </c>
      <c r="E25">
        <v>30.55</v>
      </c>
      <c r="F25" t="s">
        <v>93</v>
      </c>
      <c r="G25" t="s">
        <v>6</v>
      </c>
      <c r="H25" t="s">
        <v>120</v>
      </c>
      <c r="I25">
        <v>27.6</v>
      </c>
      <c r="J25">
        <v>6000020</v>
      </c>
      <c r="K25" s="79">
        <v>5420640</v>
      </c>
      <c r="L25" s="79">
        <v>-579380</v>
      </c>
      <c r="M25">
        <v>-9.6563011456628391</v>
      </c>
      <c r="N25" s="241" t="s">
        <v>387</v>
      </c>
      <c r="R25"/>
      <c r="U25"/>
    </row>
    <row r="26" spans="1:21" x14ac:dyDescent="0.25">
      <c r="A26" t="s">
        <v>482</v>
      </c>
      <c r="B26" t="s">
        <v>214</v>
      </c>
      <c r="C26" t="s">
        <v>92</v>
      </c>
      <c r="D26">
        <v>121031</v>
      </c>
      <c r="E26">
        <v>49.61</v>
      </c>
      <c r="F26" t="s">
        <v>93</v>
      </c>
      <c r="G26" t="s">
        <v>6</v>
      </c>
      <c r="H26" t="s">
        <v>120</v>
      </c>
      <c r="I26">
        <v>45.53</v>
      </c>
      <c r="J26">
        <v>6004347.9100000001</v>
      </c>
      <c r="K26" s="79">
        <v>5510541.4299999997</v>
      </c>
      <c r="L26" s="79">
        <v>-493806.48</v>
      </c>
      <c r="M26">
        <v>-8.2241483571860403</v>
      </c>
      <c r="N26" s="241" t="s">
        <v>387</v>
      </c>
      <c r="R26"/>
      <c r="U26"/>
    </row>
    <row r="27" spans="1:21" x14ac:dyDescent="0.25">
      <c r="A27" t="s">
        <v>433</v>
      </c>
      <c r="B27" t="s">
        <v>214</v>
      </c>
      <c r="C27" t="s">
        <v>96</v>
      </c>
      <c r="D27">
        <v>17600</v>
      </c>
      <c r="E27">
        <v>279.99</v>
      </c>
      <c r="F27" t="s">
        <v>93</v>
      </c>
      <c r="G27" t="s">
        <v>6</v>
      </c>
      <c r="H27" t="s">
        <v>432</v>
      </c>
      <c r="I27">
        <v>234</v>
      </c>
      <c r="J27">
        <v>4927824</v>
      </c>
      <c r="K27" s="79">
        <v>4118400</v>
      </c>
      <c r="L27" s="79">
        <v>-809424</v>
      </c>
      <c r="M27">
        <v>-16.4255866280938</v>
      </c>
      <c r="N27" s="241" t="s">
        <v>387</v>
      </c>
      <c r="R27"/>
      <c r="U27"/>
    </row>
    <row r="28" spans="1:21" x14ac:dyDescent="0.25">
      <c r="A28" t="s">
        <v>250</v>
      </c>
      <c r="B28" t="s">
        <v>214</v>
      </c>
      <c r="C28" t="s">
        <v>92</v>
      </c>
      <c r="D28">
        <v>889</v>
      </c>
      <c r="E28">
        <v>1808.95</v>
      </c>
      <c r="F28" t="s">
        <v>93</v>
      </c>
      <c r="G28" t="s">
        <v>6</v>
      </c>
      <c r="H28" t="s">
        <v>256</v>
      </c>
      <c r="I28">
        <v>1491.2</v>
      </c>
      <c r="J28">
        <v>1608156.55</v>
      </c>
      <c r="K28" s="79">
        <v>1325676.8</v>
      </c>
      <c r="L28" s="79">
        <v>-282479.75</v>
      </c>
      <c r="M28">
        <v>-17.565438514055099</v>
      </c>
      <c r="N28" s="241" t="s">
        <v>387</v>
      </c>
      <c r="R28"/>
      <c r="U28"/>
    </row>
    <row r="29" spans="1:21" x14ac:dyDescent="0.25">
      <c r="A29" t="s">
        <v>454</v>
      </c>
      <c r="B29" t="s">
        <v>214</v>
      </c>
      <c r="C29" t="s">
        <v>92</v>
      </c>
      <c r="D29">
        <v>3000</v>
      </c>
      <c r="E29">
        <v>225</v>
      </c>
      <c r="F29" t="s">
        <v>93</v>
      </c>
      <c r="G29" t="s">
        <v>6</v>
      </c>
      <c r="H29" t="s">
        <v>432</v>
      </c>
      <c r="I29">
        <v>178</v>
      </c>
      <c r="J29">
        <v>675000</v>
      </c>
      <c r="K29" s="79">
        <v>534000</v>
      </c>
      <c r="L29" s="79">
        <v>-141000</v>
      </c>
      <c r="M29">
        <v>-20.8888888888888</v>
      </c>
      <c r="N29" s="241" t="s">
        <v>387</v>
      </c>
      <c r="R29"/>
      <c r="U29"/>
    </row>
    <row r="30" spans="1:21" x14ac:dyDescent="0.25">
      <c r="A30" t="s">
        <v>230</v>
      </c>
      <c r="B30" t="s">
        <v>214</v>
      </c>
      <c r="C30" t="s">
        <v>92</v>
      </c>
      <c r="D30">
        <v>7992</v>
      </c>
      <c r="E30">
        <v>159.55000000000001</v>
      </c>
      <c r="F30" t="s">
        <v>93</v>
      </c>
      <c r="G30" t="s">
        <v>6</v>
      </c>
      <c r="H30" t="s">
        <v>256</v>
      </c>
      <c r="I30">
        <v>130.91999999999999</v>
      </c>
      <c r="J30">
        <v>1275123.6000000001</v>
      </c>
      <c r="K30" s="79">
        <v>1046312.63999999</v>
      </c>
      <c r="L30" s="79">
        <v>-228810.96</v>
      </c>
      <c r="M30">
        <v>-17.944218113443998</v>
      </c>
      <c r="N30" s="241" t="s">
        <v>387</v>
      </c>
      <c r="R30"/>
      <c r="U30"/>
    </row>
    <row r="31" spans="1:21" x14ac:dyDescent="0.25">
      <c r="A31" t="s">
        <v>232</v>
      </c>
      <c r="B31" t="s">
        <v>214</v>
      </c>
      <c r="C31" t="s">
        <v>92</v>
      </c>
      <c r="D31">
        <v>2273</v>
      </c>
      <c r="E31">
        <v>733.65</v>
      </c>
      <c r="F31" t="s">
        <v>93</v>
      </c>
      <c r="G31" t="s">
        <v>6</v>
      </c>
      <c r="H31" t="s">
        <v>256</v>
      </c>
      <c r="I31">
        <v>830.65</v>
      </c>
      <c r="J31">
        <v>1667586.45</v>
      </c>
      <c r="K31" s="79">
        <v>1888067.45</v>
      </c>
      <c r="L31" s="79">
        <v>220481</v>
      </c>
      <c r="M31">
        <v>13.2215634157977</v>
      </c>
      <c r="N31" s="241" t="s">
        <v>387</v>
      </c>
      <c r="R31"/>
      <c r="U31"/>
    </row>
    <row r="32" spans="1:21" x14ac:dyDescent="0.25">
      <c r="A32" t="s">
        <v>234</v>
      </c>
      <c r="B32" t="s">
        <v>214</v>
      </c>
      <c r="C32" t="s">
        <v>92</v>
      </c>
      <c r="D32">
        <v>668</v>
      </c>
      <c r="E32">
        <v>2027.5</v>
      </c>
      <c r="F32" t="s">
        <v>93</v>
      </c>
      <c r="G32" t="s">
        <v>6</v>
      </c>
      <c r="H32" t="s">
        <v>256</v>
      </c>
      <c r="I32">
        <v>1732.8</v>
      </c>
      <c r="J32">
        <v>1354370</v>
      </c>
      <c r="K32" s="79">
        <v>1157510.3999999999</v>
      </c>
      <c r="L32" s="79">
        <v>-196859.6</v>
      </c>
      <c r="M32">
        <v>-14.535141800246601</v>
      </c>
      <c r="N32" s="241" t="s">
        <v>387</v>
      </c>
      <c r="R32"/>
      <c r="U32"/>
    </row>
    <row r="33" spans="1:21" x14ac:dyDescent="0.25">
      <c r="A33" t="s">
        <v>95</v>
      </c>
      <c r="B33" t="s">
        <v>214</v>
      </c>
      <c r="C33" t="s">
        <v>96</v>
      </c>
      <c r="D33">
        <v>435275</v>
      </c>
      <c r="E33">
        <v>38.862679999999997</v>
      </c>
      <c r="F33" t="s">
        <v>93</v>
      </c>
      <c r="G33" t="s">
        <v>6</v>
      </c>
      <c r="H33" t="s">
        <v>257</v>
      </c>
      <c r="I33">
        <v>24.18</v>
      </c>
      <c r="J33">
        <v>16915953.037</v>
      </c>
      <c r="K33" s="79">
        <v>10524949.5</v>
      </c>
      <c r="L33" s="79">
        <v>-6391003.5369999995</v>
      </c>
      <c r="M33">
        <v>-37.780925041710901</v>
      </c>
      <c r="N33" s="241" t="s">
        <v>387</v>
      </c>
      <c r="R33"/>
      <c r="U33"/>
    </row>
    <row r="34" spans="1:21" x14ac:dyDescent="0.25">
      <c r="A34" t="s">
        <v>226</v>
      </c>
      <c r="B34" t="s">
        <v>214</v>
      </c>
      <c r="C34" t="s">
        <v>92</v>
      </c>
      <c r="D34">
        <v>18326</v>
      </c>
      <c r="E34">
        <v>89.95</v>
      </c>
      <c r="F34" t="s">
        <v>93</v>
      </c>
      <c r="G34" t="s">
        <v>6</v>
      </c>
      <c r="H34" t="s">
        <v>256</v>
      </c>
      <c r="I34">
        <v>80.95</v>
      </c>
      <c r="J34">
        <v>1648423.7</v>
      </c>
      <c r="K34" s="79">
        <v>1483489.7</v>
      </c>
      <c r="L34" s="79">
        <v>-164934</v>
      </c>
      <c r="M34">
        <v>-10.0055586436909</v>
      </c>
      <c r="N34" s="241" t="s">
        <v>387</v>
      </c>
      <c r="R34"/>
      <c r="U34"/>
    </row>
    <row r="35" spans="1:21" x14ac:dyDescent="0.25">
      <c r="A35" t="s">
        <v>228</v>
      </c>
      <c r="B35" t="s">
        <v>214</v>
      </c>
      <c r="C35" t="s">
        <v>92</v>
      </c>
      <c r="D35">
        <v>2365</v>
      </c>
      <c r="E35">
        <v>619.9</v>
      </c>
      <c r="F35" t="s">
        <v>93</v>
      </c>
      <c r="G35" t="s">
        <v>6</v>
      </c>
      <c r="H35" t="s">
        <v>256</v>
      </c>
      <c r="I35">
        <v>459.95</v>
      </c>
      <c r="J35">
        <v>1466063.5</v>
      </c>
      <c r="K35" s="79">
        <v>1087781.75</v>
      </c>
      <c r="L35" s="79">
        <v>-378281.75</v>
      </c>
      <c r="M35">
        <v>-25.8025487981932</v>
      </c>
      <c r="N35" s="241" t="s">
        <v>387</v>
      </c>
      <c r="R35"/>
      <c r="U35"/>
    </row>
    <row r="36" spans="1:21" x14ac:dyDescent="0.25">
      <c r="A36" t="s">
        <v>242</v>
      </c>
      <c r="B36" t="s">
        <v>214</v>
      </c>
      <c r="C36" t="s">
        <v>92</v>
      </c>
      <c r="D36">
        <v>5356</v>
      </c>
      <c r="E36">
        <v>326.39999999999998</v>
      </c>
      <c r="F36" t="s">
        <v>93</v>
      </c>
      <c r="G36" t="s">
        <v>6</v>
      </c>
      <c r="H36" t="s">
        <v>256</v>
      </c>
      <c r="I36">
        <v>301.3</v>
      </c>
      <c r="J36">
        <v>1748198.3999999999</v>
      </c>
      <c r="K36" s="79">
        <v>1613762.8</v>
      </c>
      <c r="L36" s="79">
        <v>-134435.59999999899</v>
      </c>
      <c r="M36">
        <v>-7.6899509803921404</v>
      </c>
      <c r="N36" s="241" t="s">
        <v>387</v>
      </c>
      <c r="R36"/>
      <c r="U36"/>
    </row>
    <row r="37" spans="1:21" x14ac:dyDescent="0.25">
      <c r="A37" t="s">
        <v>247</v>
      </c>
      <c r="B37" t="s">
        <v>214</v>
      </c>
      <c r="C37" t="s">
        <v>92</v>
      </c>
      <c r="D37">
        <v>3698</v>
      </c>
      <c r="E37">
        <v>341.1</v>
      </c>
      <c r="F37" t="s">
        <v>93</v>
      </c>
      <c r="G37" t="s">
        <v>6</v>
      </c>
      <c r="H37" t="s">
        <v>256</v>
      </c>
      <c r="I37">
        <v>334.35</v>
      </c>
      <c r="J37">
        <v>1261387.8</v>
      </c>
      <c r="K37" s="79">
        <v>1236426.3</v>
      </c>
      <c r="L37" s="79">
        <v>-24961.5</v>
      </c>
      <c r="M37">
        <v>-1.97889182058047</v>
      </c>
      <c r="N37" s="241" t="s">
        <v>387</v>
      </c>
      <c r="R37"/>
      <c r="U37"/>
    </row>
    <row r="38" spans="1:21" x14ac:dyDescent="0.25">
      <c r="A38" t="s">
        <v>244</v>
      </c>
      <c r="B38" t="s">
        <v>214</v>
      </c>
      <c r="C38" t="s">
        <v>92</v>
      </c>
      <c r="D38">
        <v>3847</v>
      </c>
      <c r="E38">
        <v>439.35</v>
      </c>
      <c r="F38" t="s">
        <v>93</v>
      </c>
      <c r="G38" t="s">
        <v>6</v>
      </c>
      <c r="H38" t="s">
        <v>256</v>
      </c>
      <c r="I38">
        <v>383.85</v>
      </c>
      <c r="J38">
        <v>1690179.45</v>
      </c>
      <c r="K38" s="79">
        <v>1476670.95</v>
      </c>
      <c r="L38" s="79">
        <v>-213508.5</v>
      </c>
      <c r="M38">
        <v>-12.6322977125298</v>
      </c>
      <c r="N38" s="241" t="s">
        <v>387</v>
      </c>
      <c r="R38"/>
      <c r="U38"/>
    </row>
    <row r="39" spans="1:21" x14ac:dyDescent="0.25">
      <c r="A39" t="s">
        <v>248</v>
      </c>
      <c r="B39" t="s">
        <v>214</v>
      </c>
      <c r="C39" t="s">
        <v>92</v>
      </c>
      <c r="D39">
        <v>8972</v>
      </c>
      <c r="E39">
        <v>188.65</v>
      </c>
      <c r="F39" t="s">
        <v>93</v>
      </c>
      <c r="G39" t="s">
        <v>6</v>
      </c>
      <c r="H39" t="s">
        <v>256</v>
      </c>
      <c r="I39">
        <v>225.88</v>
      </c>
      <c r="J39">
        <v>1692567.8</v>
      </c>
      <c r="K39" s="79">
        <v>2026595.3599999901</v>
      </c>
      <c r="L39" s="79">
        <v>334027.55999999901</v>
      </c>
      <c r="M39">
        <v>19.734958918632302</v>
      </c>
      <c r="N39" s="241" t="s">
        <v>387</v>
      </c>
      <c r="R39"/>
      <c r="U39"/>
    </row>
    <row r="40" spans="1:21" x14ac:dyDescent="0.25">
      <c r="A40" t="s">
        <v>233</v>
      </c>
      <c r="B40" t="s">
        <v>214</v>
      </c>
      <c r="C40" t="s">
        <v>92</v>
      </c>
      <c r="D40">
        <v>2923</v>
      </c>
      <c r="E40">
        <v>684</v>
      </c>
      <c r="F40" t="s">
        <v>93</v>
      </c>
      <c r="G40" t="s">
        <v>6</v>
      </c>
      <c r="H40" t="s">
        <v>256</v>
      </c>
      <c r="I40">
        <v>561.9</v>
      </c>
      <c r="J40">
        <v>1999332</v>
      </c>
      <c r="K40" s="79">
        <v>1642433.7</v>
      </c>
      <c r="L40" s="79">
        <v>-356898.3</v>
      </c>
      <c r="M40">
        <v>-17.850877192982399</v>
      </c>
      <c r="N40" s="241" t="s">
        <v>387</v>
      </c>
      <c r="R40"/>
      <c r="U40"/>
    </row>
    <row r="41" spans="1:21" x14ac:dyDescent="0.25">
      <c r="A41" t="s">
        <v>227</v>
      </c>
      <c r="B41" t="s">
        <v>214</v>
      </c>
      <c r="C41" t="s">
        <v>96</v>
      </c>
      <c r="D41">
        <v>115930</v>
      </c>
      <c r="E41">
        <v>11.84</v>
      </c>
      <c r="F41" t="s">
        <v>93</v>
      </c>
      <c r="G41" t="s">
        <v>6</v>
      </c>
      <c r="H41" t="s">
        <v>256</v>
      </c>
      <c r="I41">
        <v>10.3</v>
      </c>
      <c r="J41">
        <v>1372611.2</v>
      </c>
      <c r="K41" s="79">
        <v>1194079</v>
      </c>
      <c r="L41" s="79">
        <v>-178532.19999999899</v>
      </c>
      <c r="M41">
        <v>-13.006756756756699</v>
      </c>
      <c r="N41" s="241" t="s">
        <v>387</v>
      </c>
      <c r="R41"/>
      <c r="U41"/>
    </row>
    <row r="42" spans="1:21" x14ac:dyDescent="0.25">
      <c r="A42" t="s">
        <v>235</v>
      </c>
      <c r="B42" t="s">
        <v>214</v>
      </c>
      <c r="C42" t="s">
        <v>92</v>
      </c>
      <c r="D42">
        <v>581</v>
      </c>
      <c r="E42">
        <v>2606.4499999999998</v>
      </c>
      <c r="F42" t="s">
        <v>93</v>
      </c>
      <c r="G42" t="s">
        <v>6</v>
      </c>
      <c r="H42" t="s">
        <v>256</v>
      </c>
      <c r="I42">
        <v>2279.1999999999998</v>
      </c>
      <c r="J42">
        <v>1514347.45</v>
      </c>
      <c r="K42" s="79">
        <v>1324215.2</v>
      </c>
      <c r="L42" s="79">
        <v>-190132.25</v>
      </c>
      <c r="M42">
        <v>-12.5553914327917</v>
      </c>
      <c r="N42" s="241" t="s">
        <v>387</v>
      </c>
      <c r="R42"/>
      <c r="U42"/>
    </row>
    <row r="43" spans="1:21" x14ac:dyDescent="0.25">
      <c r="A43" t="s">
        <v>225</v>
      </c>
      <c r="B43" t="s">
        <v>214</v>
      </c>
      <c r="C43" t="s">
        <v>92</v>
      </c>
      <c r="D43">
        <v>2281</v>
      </c>
      <c r="E43">
        <v>721.85</v>
      </c>
      <c r="F43" t="s">
        <v>93</v>
      </c>
      <c r="G43" t="s">
        <v>6</v>
      </c>
      <c r="H43" t="s">
        <v>256</v>
      </c>
      <c r="I43">
        <v>812.7</v>
      </c>
      <c r="J43">
        <v>1646539.85</v>
      </c>
      <c r="K43" s="79">
        <v>1853768.7</v>
      </c>
      <c r="L43" s="79">
        <v>207228.85</v>
      </c>
      <c r="M43">
        <v>12.585717254277199</v>
      </c>
      <c r="N43" s="241" t="s">
        <v>387</v>
      </c>
      <c r="R43"/>
      <c r="U43"/>
    </row>
    <row r="44" spans="1:21" x14ac:dyDescent="0.25">
      <c r="A44" t="s">
        <v>223</v>
      </c>
      <c r="B44" t="s">
        <v>214</v>
      </c>
      <c r="C44" t="s">
        <v>92</v>
      </c>
      <c r="D44">
        <v>3300</v>
      </c>
      <c r="E44">
        <v>572.29999999999995</v>
      </c>
      <c r="F44" t="s">
        <v>93</v>
      </c>
      <c r="G44" t="s">
        <v>6</v>
      </c>
      <c r="H44" t="s">
        <v>256</v>
      </c>
      <c r="I44">
        <v>507.350006103515</v>
      </c>
      <c r="J44">
        <v>1888589.99999999</v>
      </c>
      <c r="K44" s="79">
        <v>1674255.0201415999</v>
      </c>
      <c r="L44" s="79">
        <v>-214334.979858398</v>
      </c>
      <c r="M44">
        <v>-11.348941795646301</v>
      </c>
      <c r="N44" s="241" t="s">
        <v>387</v>
      </c>
      <c r="U44"/>
    </row>
    <row r="45" spans="1:21" x14ac:dyDescent="0.25">
      <c r="A45"/>
      <c r="B45"/>
      <c r="C45"/>
      <c r="D45"/>
      <c r="E45"/>
      <c r="F45"/>
      <c r="G45"/>
      <c r="H45"/>
      <c r="I45"/>
      <c r="J45"/>
      <c r="K45" s="79"/>
      <c r="L45"/>
      <c r="M45"/>
      <c r="N45" s="241"/>
    </row>
    <row r="46" spans="1:21" x14ac:dyDescent="0.25">
      <c r="A46"/>
      <c r="B46"/>
      <c r="C46"/>
      <c r="D46"/>
      <c r="E46"/>
      <c r="F46"/>
      <c r="G46"/>
      <c r="H46"/>
      <c r="I46"/>
      <c r="J46"/>
      <c r="K46" s="79"/>
      <c r="L46"/>
      <c r="M46"/>
      <c r="N46" s="241"/>
    </row>
    <row r="47" spans="1:2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 s="241"/>
      <c r="R47"/>
    </row>
    <row r="48" spans="1:2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 s="241"/>
      <c r="R48"/>
    </row>
    <row r="49" spans="1:18" x14ac:dyDescent="0.25">
      <c r="A49"/>
      <c r="B49"/>
      <c r="C49"/>
      <c r="D49"/>
      <c r="E49"/>
      <c r="F49"/>
      <c r="G49"/>
      <c r="H49"/>
      <c r="I49"/>
      <c r="J49"/>
      <c r="K49" s="79"/>
      <c r="L49"/>
      <c r="M49"/>
      <c r="N49" s="241"/>
      <c r="R49"/>
    </row>
    <row r="50" spans="1:18" x14ac:dyDescent="0.25">
      <c r="A50"/>
      <c r="B50"/>
      <c r="C50"/>
      <c r="D50"/>
      <c r="E50"/>
      <c r="F50"/>
      <c r="G50"/>
      <c r="H50"/>
      <c r="I50"/>
      <c r="J50"/>
      <c r="K50" s="79"/>
      <c r="L50"/>
      <c r="M50"/>
      <c r="N50" s="241"/>
    </row>
    <row r="51" spans="1:18" x14ac:dyDescent="0.25">
      <c r="A51"/>
      <c r="B51"/>
      <c r="C51"/>
      <c r="D51"/>
      <c r="E51"/>
      <c r="F51"/>
      <c r="G51"/>
      <c r="H51"/>
      <c r="I51"/>
      <c r="J51"/>
      <c r="K51" s="79"/>
      <c r="L51"/>
      <c r="M51"/>
      <c r="N51" s="241"/>
    </row>
    <row r="52" spans="1:18" x14ac:dyDescent="0.25">
      <c r="A52"/>
      <c r="B52"/>
      <c r="C52"/>
      <c r="D52"/>
      <c r="E52"/>
      <c r="F52"/>
      <c r="G52"/>
      <c r="H52"/>
      <c r="I52"/>
      <c r="J52"/>
      <c r="K52" s="79"/>
      <c r="L52"/>
      <c r="M52"/>
      <c r="N52" s="241"/>
    </row>
    <row r="53" spans="1:18" x14ac:dyDescent="0.25">
      <c r="A53"/>
      <c r="B53"/>
      <c r="C53"/>
      <c r="D53"/>
      <c r="E53"/>
      <c r="F53"/>
      <c r="G53"/>
      <c r="H53"/>
      <c r="I53"/>
      <c r="J53"/>
      <c r="K53" s="79"/>
      <c r="L53"/>
      <c r="M53"/>
    </row>
    <row r="54" spans="1:18" x14ac:dyDescent="0.25">
      <c r="A54"/>
      <c r="B54"/>
      <c r="C54"/>
      <c r="D54"/>
      <c r="E54"/>
      <c r="F54"/>
      <c r="G54"/>
      <c r="H54"/>
      <c r="I54"/>
      <c r="J54"/>
      <c r="K54" s="79"/>
      <c r="L54"/>
      <c r="M54"/>
    </row>
    <row r="55" spans="1:18" x14ac:dyDescent="0.25">
      <c r="A55"/>
      <c r="B55"/>
      <c r="C55"/>
      <c r="D55"/>
      <c r="E55"/>
      <c r="F55"/>
      <c r="G55"/>
      <c r="H55"/>
      <c r="I55"/>
      <c r="J55"/>
      <c r="K55" s="79"/>
      <c r="L55"/>
      <c r="M55"/>
    </row>
    <row r="56" spans="1:18" x14ac:dyDescent="0.25">
      <c r="A56"/>
      <c r="B56"/>
      <c r="C56"/>
      <c r="D56"/>
      <c r="E56"/>
      <c r="F56"/>
      <c r="G56"/>
      <c r="H56"/>
      <c r="I56"/>
      <c r="J56"/>
      <c r="K56" s="79"/>
      <c r="L56"/>
      <c r="M56"/>
    </row>
    <row r="57" spans="1:18" x14ac:dyDescent="0.25">
      <c r="A57"/>
      <c r="B57"/>
      <c r="C57"/>
      <c r="D57"/>
      <c r="E57"/>
      <c r="F57"/>
      <c r="G57"/>
      <c r="H57"/>
      <c r="I57"/>
      <c r="J57"/>
      <c r="K57" s="79"/>
      <c r="L57"/>
      <c r="M57"/>
    </row>
    <row r="58" spans="1:18" x14ac:dyDescent="0.25">
      <c r="A58"/>
      <c r="B58"/>
      <c r="C58"/>
      <c r="D58"/>
      <c r="E58"/>
      <c r="F58"/>
      <c r="G58"/>
      <c r="H58"/>
      <c r="I58"/>
      <c r="J58"/>
      <c r="K58" s="79"/>
      <c r="L58"/>
      <c r="M58"/>
    </row>
  </sheetData>
  <sortState xmlns:xlrd2="http://schemas.microsoft.com/office/spreadsheetml/2017/richdata2" ref="U11:U45">
    <sortCondition ref="U11:U4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O44"/>
  <sheetViews>
    <sheetView topLeftCell="B1" workbookViewId="0">
      <selection activeCell="O4" sqref="O4"/>
    </sheetView>
  </sheetViews>
  <sheetFormatPr defaultColWidth="9.140625" defaultRowHeight="15" x14ac:dyDescent="0.25"/>
  <cols>
    <col min="1" max="1" width="64.5703125" style="3" customWidth="1"/>
    <col min="2" max="2" width="14.140625" style="3" bestFit="1" customWidth="1"/>
    <col min="3" max="3" width="13.140625" style="3" bestFit="1" customWidth="1"/>
    <col min="4" max="4" width="12" style="3" bestFit="1" customWidth="1"/>
    <col min="5" max="5" width="11" style="3" bestFit="1" customWidth="1"/>
    <col min="6" max="6" width="8.28515625" style="3" customWidth="1"/>
    <col min="7" max="7" width="11.7109375" style="3" bestFit="1" customWidth="1"/>
    <col min="8" max="8" width="29.42578125" style="3" bestFit="1" customWidth="1"/>
    <col min="9" max="9" width="12.5703125" style="3" customWidth="1"/>
    <col min="10" max="10" width="10" style="3" bestFit="1" customWidth="1"/>
    <col min="11" max="11" width="12" style="3" customWidth="1"/>
    <col min="12" max="12" width="16.5703125" style="3" bestFit="1" customWidth="1"/>
    <col min="13" max="13" width="12.7109375" style="3" customWidth="1"/>
    <col min="14" max="14" width="12.7109375" style="3" bestFit="1" customWidth="1"/>
    <col min="15" max="15" width="37.140625" style="3" bestFit="1" customWidth="1"/>
    <col min="16" max="16384" width="9.140625" style="3"/>
  </cols>
  <sheetData>
    <row r="1" spans="1:15" x14ac:dyDescent="0.25">
      <c r="A1" s="23" t="s">
        <v>98</v>
      </c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  <c r="M2"/>
    </row>
    <row r="3" spans="1:15" x14ac:dyDescent="0.25">
      <c r="A3" t="s">
        <v>80</v>
      </c>
      <c r="B3" t="s">
        <v>100</v>
      </c>
      <c r="C3" t="s">
        <v>101</v>
      </c>
      <c r="D3" t="s">
        <v>83</v>
      </c>
      <c r="E3" t="s">
        <v>84</v>
      </c>
      <c r="F3" t="s">
        <v>85</v>
      </c>
      <c r="G3" t="s">
        <v>86</v>
      </c>
      <c r="H3" t="s">
        <v>81</v>
      </c>
      <c r="I3" t="s">
        <v>99</v>
      </c>
      <c r="J3" t="s">
        <v>102</v>
      </c>
      <c r="K3" t="s">
        <v>88</v>
      </c>
      <c r="L3" t="s">
        <v>89</v>
      </c>
      <c r="M3" t="s">
        <v>90</v>
      </c>
      <c r="N3" t="s">
        <v>91</v>
      </c>
      <c r="O3" s="212" t="s">
        <v>386</v>
      </c>
    </row>
    <row r="4" spans="1:15" x14ac:dyDescent="0.25">
      <c r="A4" t="s">
        <v>118</v>
      </c>
      <c r="B4" t="s">
        <v>119</v>
      </c>
      <c r="C4">
        <v>119511</v>
      </c>
      <c r="D4">
        <v>131571.09700000001</v>
      </c>
      <c r="E4">
        <v>380.00499000000002</v>
      </c>
      <c r="F4" t="s">
        <v>93</v>
      </c>
      <c r="G4" t="s">
        <v>16</v>
      </c>
      <c r="H4" t="s">
        <v>251</v>
      </c>
      <c r="I4" t="s">
        <v>122</v>
      </c>
      <c r="J4">
        <v>392.09570000000002</v>
      </c>
      <c r="K4">
        <v>49997673.399774</v>
      </c>
      <c r="L4" s="79">
        <v>51588461.3779829</v>
      </c>
      <c r="M4" s="79">
        <v>1590787.9782088599</v>
      </c>
      <c r="N4">
        <v>3.1817240084136702</v>
      </c>
      <c r="O4" s="315" t="s">
        <v>389</v>
      </c>
    </row>
    <row r="5" spans="1:15" x14ac:dyDescent="0.25">
      <c r="A5" t="s">
        <v>253</v>
      </c>
      <c r="B5" t="s">
        <v>258</v>
      </c>
      <c r="C5">
        <v>153244</v>
      </c>
      <c r="D5">
        <v>372036.35100000002</v>
      </c>
      <c r="E5">
        <v>10.8774</v>
      </c>
      <c r="F5" t="s">
        <v>93</v>
      </c>
      <c r="G5" t="s">
        <v>6</v>
      </c>
      <c r="H5" t="s">
        <v>252</v>
      </c>
      <c r="I5" t="s">
        <v>120</v>
      </c>
      <c r="J5">
        <v>9.4931000000000001</v>
      </c>
      <c r="K5">
        <v>4046788.2043674001</v>
      </c>
      <c r="L5" s="79">
        <v>3531778.2836781</v>
      </c>
      <c r="M5" s="79">
        <v>-515009.920689299</v>
      </c>
      <c r="N5">
        <v>-12.726386820379799</v>
      </c>
      <c r="O5" s="329" t="s">
        <v>387</v>
      </c>
    </row>
    <row r="6" spans="1:15" x14ac:dyDescent="0.25">
      <c r="A6" t="s">
        <v>111</v>
      </c>
      <c r="B6" t="s">
        <v>112</v>
      </c>
      <c r="C6">
        <v>148822</v>
      </c>
      <c r="D6">
        <v>1699682.557</v>
      </c>
      <c r="E6">
        <v>18.137170000000001</v>
      </c>
      <c r="F6" t="s">
        <v>93</v>
      </c>
      <c r="G6" t="s">
        <v>6</v>
      </c>
      <c r="H6" t="s">
        <v>252</v>
      </c>
      <c r="I6" t="s">
        <v>212</v>
      </c>
      <c r="J6">
        <v>16.934799999999999</v>
      </c>
      <c r="K6">
        <v>30827431.482343599</v>
      </c>
      <c r="L6" s="79">
        <v>28783784.1662836</v>
      </c>
      <c r="M6" s="79">
        <v>-2043647.31606009</v>
      </c>
      <c r="N6">
        <v>-6.6293142756008896</v>
      </c>
      <c r="O6" s="329" t="s">
        <v>387</v>
      </c>
    </row>
    <row r="7" spans="1:15" x14ac:dyDescent="0.25">
      <c r="A7" t="s">
        <v>105</v>
      </c>
      <c r="B7" t="s">
        <v>106</v>
      </c>
      <c r="C7">
        <v>151781</v>
      </c>
      <c r="D7">
        <v>2961797.966</v>
      </c>
      <c r="E7">
        <v>14.93707</v>
      </c>
      <c r="F7" t="s">
        <v>93</v>
      </c>
      <c r="G7" t="s">
        <v>6</v>
      </c>
      <c r="H7" t="s">
        <v>252</v>
      </c>
      <c r="I7" t="s">
        <v>120</v>
      </c>
      <c r="J7">
        <v>12.909000000000001</v>
      </c>
      <c r="K7">
        <v>44240583.543999597</v>
      </c>
      <c r="L7" s="79">
        <v>38233849.943094</v>
      </c>
      <c r="M7" s="79">
        <v>-6006733.6009056196</v>
      </c>
      <c r="N7">
        <v>-13.577428505054799</v>
      </c>
      <c r="O7" s="329" t="s">
        <v>387</v>
      </c>
    </row>
    <row r="8" spans="1:15" x14ac:dyDescent="0.25">
      <c r="A8" t="s">
        <v>262</v>
      </c>
      <c r="B8" t="s">
        <v>263</v>
      </c>
      <c r="C8">
        <v>120249</v>
      </c>
      <c r="D8">
        <v>8191.8130000000001</v>
      </c>
      <c r="E8">
        <v>4882.6792599999999</v>
      </c>
      <c r="F8" t="s">
        <v>93</v>
      </c>
      <c r="G8" t="s">
        <v>16</v>
      </c>
      <c r="H8" t="s">
        <v>251</v>
      </c>
      <c r="I8" t="s">
        <v>122</v>
      </c>
      <c r="J8">
        <v>5000.4251000000004</v>
      </c>
      <c r="K8">
        <v>39997995.436898299</v>
      </c>
      <c r="L8" s="79">
        <v>40962547.339706302</v>
      </c>
      <c r="M8" s="79">
        <v>964551.90280792105</v>
      </c>
      <c r="N8">
        <v>2.4115006071482199</v>
      </c>
      <c r="O8" s="315" t="s">
        <v>389</v>
      </c>
    </row>
    <row r="9" spans="1:15" x14ac:dyDescent="0.25">
      <c r="A9" t="s">
        <v>103</v>
      </c>
      <c r="B9" t="s">
        <v>104</v>
      </c>
      <c r="C9">
        <v>152875</v>
      </c>
      <c r="D9">
        <v>1136231.2660000001</v>
      </c>
      <c r="E9">
        <v>8.2241</v>
      </c>
      <c r="F9" t="s">
        <v>93</v>
      </c>
      <c r="G9" t="s">
        <v>6</v>
      </c>
      <c r="H9" t="s">
        <v>252</v>
      </c>
      <c r="I9" t="s">
        <v>120</v>
      </c>
      <c r="J9">
        <v>7.1238000000000001</v>
      </c>
      <c r="K9">
        <v>9344479.5547106005</v>
      </c>
      <c r="L9" s="79">
        <v>8094284.2927307999</v>
      </c>
      <c r="M9" s="79">
        <v>-1250195.2619797899</v>
      </c>
      <c r="N9">
        <v>-13.3789715591979</v>
      </c>
      <c r="O9" s="329" t="s">
        <v>387</v>
      </c>
    </row>
    <row r="10" spans="1:15" x14ac:dyDescent="0.25">
      <c r="A10" t="s">
        <v>444</v>
      </c>
      <c r="B10" t="s">
        <v>445</v>
      </c>
      <c r="C10">
        <v>118719</v>
      </c>
      <c r="D10">
        <v>4585.99</v>
      </c>
      <c r="E10">
        <v>4360.8900000000003</v>
      </c>
      <c r="F10" t="s">
        <v>93</v>
      </c>
      <c r="G10" t="s">
        <v>16</v>
      </c>
      <c r="H10" t="s">
        <v>251</v>
      </c>
      <c r="I10" t="s">
        <v>122</v>
      </c>
      <c r="J10">
        <v>4399.2259999999997</v>
      </c>
      <c r="K10">
        <v>19998997.9311</v>
      </c>
      <c r="L10" s="79">
        <v>20174806.443739999</v>
      </c>
      <c r="M10" s="79">
        <v>175808.51263999901</v>
      </c>
      <c r="N10">
        <v>0.87908660846752196</v>
      </c>
      <c r="O10" s="315" t="s">
        <v>389</v>
      </c>
    </row>
    <row r="11" spans="1:15" x14ac:dyDescent="0.25">
      <c r="A11" t="s">
        <v>107</v>
      </c>
      <c r="B11" t="s">
        <v>108</v>
      </c>
      <c r="C11">
        <v>147481</v>
      </c>
      <c r="D11">
        <v>7843.1139999999996</v>
      </c>
      <c r="E11">
        <v>34.781599999999997</v>
      </c>
      <c r="F11" t="s">
        <v>93</v>
      </c>
      <c r="G11" t="s">
        <v>6</v>
      </c>
      <c r="H11" t="s">
        <v>252</v>
      </c>
      <c r="I11" t="s">
        <v>121</v>
      </c>
      <c r="J11">
        <v>30.024999999999999</v>
      </c>
      <c r="K11">
        <v>272796.05390239903</v>
      </c>
      <c r="L11" s="79">
        <v>235489.497849999</v>
      </c>
      <c r="M11" s="79">
        <v>-37306.556052399901</v>
      </c>
      <c r="N11">
        <v>-13.675621593026101</v>
      </c>
      <c r="O11" s="329" t="s">
        <v>387</v>
      </c>
    </row>
    <row r="12" spans="1:15" x14ac:dyDescent="0.25">
      <c r="A12" t="s">
        <v>109</v>
      </c>
      <c r="B12" t="s">
        <v>110</v>
      </c>
      <c r="C12">
        <v>150440</v>
      </c>
      <c r="D12">
        <v>1250128.3459999999</v>
      </c>
      <c r="E12">
        <v>15.2113</v>
      </c>
      <c r="F12" t="s">
        <v>93</v>
      </c>
      <c r="G12" t="s">
        <v>6</v>
      </c>
      <c r="H12" t="s">
        <v>252</v>
      </c>
      <c r="I12" t="s">
        <v>121</v>
      </c>
      <c r="J12">
        <v>13.7623</v>
      </c>
      <c r="K12">
        <v>19016077.309509799</v>
      </c>
      <c r="L12" s="79">
        <v>17204641.336155798</v>
      </c>
      <c r="M12" s="79">
        <v>-1811435.9733539999</v>
      </c>
      <c r="N12">
        <v>-9.5258130468796196</v>
      </c>
      <c r="O12" s="329" t="s">
        <v>387</v>
      </c>
    </row>
    <row r="13" spans="1:15" x14ac:dyDescent="0.25">
      <c r="A13" t="s">
        <v>114</v>
      </c>
      <c r="B13" t="s">
        <v>115</v>
      </c>
      <c r="C13">
        <v>150738</v>
      </c>
      <c r="D13">
        <v>2367424.1490000002</v>
      </c>
      <c r="E13">
        <v>16.396629999999998</v>
      </c>
      <c r="F13" t="s">
        <v>93</v>
      </c>
      <c r="G13" t="s">
        <v>6</v>
      </c>
      <c r="H13" t="s">
        <v>252</v>
      </c>
      <c r="I13" t="s">
        <v>120</v>
      </c>
      <c r="J13">
        <v>16.021599999999999</v>
      </c>
      <c r="K13">
        <v>38817777.824217796</v>
      </c>
      <c r="L13" s="79">
        <v>37929922.745618403</v>
      </c>
      <c r="M13" s="79">
        <v>-887855.07859946694</v>
      </c>
      <c r="N13">
        <v>-2.2872382922588201</v>
      </c>
      <c r="O13" s="324" t="s">
        <v>387</v>
      </c>
    </row>
    <row r="14" spans="1:15" x14ac:dyDescent="0.25">
      <c r="A14"/>
      <c r="B14"/>
      <c r="C14"/>
      <c r="D14"/>
      <c r="E14"/>
      <c r="F14"/>
      <c r="G14"/>
      <c r="H14"/>
      <c r="I14"/>
      <c r="J14"/>
      <c r="K14"/>
      <c r="L14" s="79"/>
      <c r="M14"/>
      <c r="N14"/>
      <c r="O14" s="32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 s="79"/>
      <c r="M15"/>
      <c r="N15"/>
      <c r="O15" s="315"/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 s="79"/>
      <c r="M16"/>
      <c r="N16"/>
      <c r="O16" s="315"/>
    </row>
    <row r="17" spans="1:15" x14ac:dyDescent="0.25">
      <c r="L17" s="4"/>
    </row>
    <row r="18" spans="1:15" x14ac:dyDescent="0.25">
      <c r="A18" s="202"/>
      <c r="L18" s="4"/>
    </row>
    <row r="19" spans="1:15" x14ac:dyDescent="0.25">
      <c r="L19" s="4"/>
    </row>
    <row r="20" spans="1:15" x14ac:dyDescent="0.25">
      <c r="A20"/>
      <c r="L20" s="4"/>
    </row>
    <row r="21" spans="1:15" x14ac:dyDescent="0.25">
      <c r="A21"/>
      <c r="L21" s="4"/>
    </row>
    <row r="22" spans="1:15" x14ac:dyDescent="0.25">
      <c r="A22"/>
      <c r="L22" s="4"/>
    </row>
    <row r="23" spans="1:15" x14ac:dyDescent="0.25">
      <c r="A23" s="253"/>
      <c r="L23" s="4"/>
    </row>
    <row r="24" spans="1:15" x14ac:dyDescent="0.25">
      <c r="A24"/>
      <c r="B24"/>
      <c r="C24"/>
      <c r="D24"/>
      <c r="E24"/>
      <c r="F24"/>
      <c r="I24"/>
      <c r="J24"/>
      <c r="K24"/>
      <c r="L24" s="4"/>
      <c r="M24" s="199"/>
      <c r="N24"/>
      <c r="O24" s="212"/>
    </row>
    <row r="25" spans="1:15" x14ac:dyDescent="0.25">
      <c r="A25"/>
      <c r="B25"/>
      <c r="C25"/>
      <c r="D25"/>
      <c r="E25"/>
      <c r="F25"/>
      <c r="I25"/>
      <c r="J25"/>
      <c r="K25"/>
      <c r="L25" s="79"/>
      <c r="M25" s="199"/>
      <c r="N25"/>
      <c r="O25" s="212"/>
    </row>
    <row r="26" spans="1:15" x14ac:dyDescent="0.25">
      <c r="A26"/>
      <c r="B26"/>
      <c r="C26"/>
      <c r="D26"/>
      <c r="E26"/>
      <c r="F26"/>
      <c r="I26"/>
      <c r="J26"/>
      <c r="K26"/>
      <c r="L26" s="79"/>
      <c r="M26" s="199"/>
      <c r="N26"/>
      <c r="O26" s="212"/>
    </row>
    <row r="27" spans="1:15" x14ac:dyDescent="0.25">
      <c r="A27" s="253"/>
      <c r="B27"/>
      <c r="C27"/>
      <c r="D27"/>
      <c r="E27"/>
      <c r="F27"/>
      <c r="I27"/>
      <c r="J27"/>
      <c r="K27"/>
      <c r="L27" s="4"/>
      <c r="M27"/>
      <c r="N27"/>
      <c r="O27" s="241"/>
    </row>
    <row r="28" spans="1:15" x14ac:dyDescent="0.25">
      <c r="A28"/>
      <c r="B28"/>
      <c r="C28"/>
      <c r="D28"/>
      <c r="E28"/>
      <c r="F28"/>
      <c r="G28"/>
      <c r="H28"/>
      <c r="I28"/>
      <c r="J28"/>
      <c r="K28"/>
      <c r="L28" s="79"/>
      <c r="M28"/>
      <c r="N28"/>
      <c r="O28" s="241"/>
    </row>
    <row r="29" spans="1:15" x14ac:dyDescent="0.25">
      <c r="A29"/>
      <c r="B29"/>
      <c r="C29"/>
      <c r="D29"/>
      <c r="E29"/>
      <c r="F29"/>
      <c r="G29"/>
      <c r="H29"/>
      <c r="I29"/>
      <c r="J29"/>
      <c r="K29"/>
      <c r="L29" s="79"/>
      <c r="M29"/>
      <c r="N29"/>
      <c r="O29" s="241"/>
    </row>
    <row r="30" spans="1:15" x14ac:dyDescent="0.25">
      <c r="A30"/>
      <c r="B30"/>
      <c r="C30"/>
      <c r="D30"/>
      <c r="E30"/>
      <c r="F30"/>
      <c r="G30"/>
      <c r="H30"/>
      <c r="I30"/>
      <c r="J30"/>
      <c r="K30"/>
      <c r="L30" s="79"/>
      <c r="M30"/>
      <c r="N30"/>
      <c r="O30" s="241"/>
    </row>
    <row r="31" spans="1:15" x14ac:dyDescent="0.25">
      <c r="A31"/>
      <c r="B31"/>
      <c r="C31"/>
      <c r="D31"/>
      <c r="E31"/>
      <c r="F31"/>
      <c r="G31"/>
      <c r="H31"/>
      <c r="I31"/>
      <c r="J31"/>
      <c r="K31"/>
      <c r="L31" s="79"/>
      <c r="M31"/>
      <c r="N31"/>
      <c r="O31" s="241"/>
    </row>
    <row r="32" spans="1:15" x14ac:dyDescent="0.25">
      <c r="A32"/>
      <c r="B32"/>
      <c r="C32"/>
      <c r="D32"/>
      <c r="E32"/>
      <c r="F32"/>
      <c r="G32"/>
      <c r="H32"/>
      <c r="I32"/>
      <c r="J32"/>
      <c r="K32"/>
      <c r="L32" s="79"/>
      <c r="M32"/>
      <c r="N32"/>
      <c r="O32" s="241"/>
    </row>
    <row r="33" spans="1:15" x14ac:dyDescent="0.25">
      <c r="A33"/>
      <c r="B33"/>
      <c r="C33"/>
      <c r="D33"/>
      <c r="E33"/>
      <c r="F33"/>
      <c r="G33"/>
      <c r="H33"/>
      <c r="I33"/>
      <c r="J33"/>
      <c r="K33"/>
      <c r="L33" s="79"/>
      <c r="M33"/>
      <c r="N33"/>
      <c r="O33" s="241"/>
    </row>
    <row r="34" spans="1:15" x14ac:dyDescent="0.25">
      <c r="A34"/>
      <c r="B34"/>
      <c r="C34"/>
      <c r="D34"/>
      <c r="E34"/>
      <c r="F34"/>
      <c r="G34"/>
      <c r="H34"/>
      <c r="I34"/>
      <c r="J34"/>
      <c r="K34"/>
      <c r="L34" s="79"/>
      <c r="M34"/>
      <c r="N34"/>
      <c r="O34" s="241"/>
    </row>
    <row r="35" spans="1:15" x14ac:dyDescent="0.25">
      <c r="A35"/>
      <c r="B35"/>
      <c r="C35"/>
      <c r="D35"/>
      <c r="E35"/>
      <c r="F35"/>
      <c r="G35"/>
      <c r="H35"/>
      <c r="I35"/>
      <c r="J35"/>
      <c r="K35"/>
      <c r="L35" s="79"/>
      <c r="M35"/>
      <c r="N35"/>
      <c r="O35" s="241"/>
    </row>
    <row r="36" spans="1:15" x14ac:dyDescent="0.25">
      <c r="A36"/>
      <c r="B36"/>
      <c r="C36"/>
      <c r="D36"/>
      <c r="E36"/>
      <c r="F36"/>
      <c r="G36"/>
      <c r="H36"/>
      <c r="I36"/>
      <c r="J36"/>
      <c r="K36"/>
      <c r="L36" s="79"/>
      <c r="M36"/>
      <c r="N36"/>
      <c r="O36" s="241"/>
    </row>
    <row r="37" spans="1:15" x14ac:dyDescent="0.25">
      <c r="A37"/>
      <c r="B37"/>
      <c r="C37"/>
      <c r="D37"/>
      <c r="E37"/>
      <c r="F37"/>
      <c r="G37"/>
      <c r="H37"/>
      <c r="I37"/>
      <c r="J37"/>
      <c r="K37"/>
      <c r="L37" s="79"/>
      <c r="M37"/>
      <c r="N37"/>
      <c r="O37" s="241"/>
    </row>
    <row r="38" spans="1:15" x14ac:dyDescent="0.25">
      <c r="A38"/>
      <c r="B38"/>
      <c r="C38"/>
      <c r="D38"/>
      <c r="E38"/>
      <c r="F38"/>
      <c r="G38"/>
      <c r="H38"/>
      <c r="I38"/>
      <c r="J38"/>
      <c r="K38"/>
      <c r="L38" s="79"/>
      <c r="M38"/>
      <c r="N38"/>
      <c r="O38" s="252"/>
    </row>
    <row r="39" spans="1:15" x14ac:dyDescent="0.25">
      <c r="A39"/>
      <c r="B39"/>
      <c r="C39"/>
      <c r="D39"/>
      <c r="E39"/>
      <c r="F39"/>
      <c r="G39"/>
      <c r="H39"/>
      <c r="I39"/>
      <c r="J39"/>
      <c r="K39"/>
      <c r="L39" s="79"/>
      <c r="M39"/>
      <c r="N39"/>
      <c r="O39" s="241"/>
    </row>
    <row r="40" spans="1:15" x14ac:dyDescent="0.25">
      <c r="A40"/>
      <c r="B40"/>
      <c r="C40"/>
      <c r="D40"/>
      <c r="E40"/>
      <c r="F40"/>
      <c r="G40"/>
      <c r="H40"/>
      <c r="I40"/>
      <c r="J40"/>
      <c r="K40"/>
      <c r="L40" s="79"/>
      <c r="M40"/>
      <c r="N40"/>
      <c r="O40" s="241"/>
    </row>
    <row r="41" spans="1:15" x14ac:dyDescent="0.25">
      <c r="A41"/>
      <c r="B41"/>
      <c r="C41"/>
      <c r="D41"/>
      <c r="E41"/>
      <c r="F41"/>
      <c r="G41"/>
      <c r="H41"/>
      <c r="I41"/>
      <c r="J41"/>
      <c r="K41"/>
      <c r="L41" s="79"/>
      <c r="M41"/>
      <c r="N41"/>
      <c r="O41" s="241"/>
    </row>
    <row r="42" spans="1:15" x14ac:dyDescent="0.25">
      <c r="A42"/>
      <c r="B42"/>
      <c r="C42"/>
      <c r="D42"/>
      <c r="E42"/>
      <c r="F42"/>
      <c r="G42"/>
      <c r="H42"/>
      <c r="I42"/>
      <c r="J42"/>
      <c r="K42"/>
      <c r="L42" s="79"/>
      <c r="M42"/>
      <c r="N42"/>
      <c r="O42" s="241"/>
    </row>
    <row r="43" spans="1:15" x14ac:dyDescent="0.25">
      <c r="A43"/>
      <c r="B43"/>
      <c r="C43"/>
      <c r="D43"/>
      <c r="E43"/>
      <c r="F43"/>
      <c r="G43"/>
      <c r="H43"/>
      <c r="I43"/>
      <c r="J43"/>
      <c r="K43"/>
      <c r="L43" s="79"/>
      <c r="M43"/>
      <c r="N43"/>
      <c r="O43" s="241"/>
    </row>
    <row r="44" spans="1:15" x14ac:dyDescent="0.25">
      <c r="A44"/>
      <c r="B44"/>
      <c r="C44"/>
      <c r="D44"/>
      <c r="E44"/>
      <c r="F44"/>
      <c r="G44"/>
      <c r="H44"/>
      <c r="I44"/>
      <c r="J44"/>
      <c r="K44"/>
      <c r="L44" s="79"/>
      <c r="M44"/>
      <c r="N44"/>
      <c r="O44" s="241"/>
    </row>
  </sheetData>
  <autoFilter ref="A3:O13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10"/>
  <sheetViews>
    <sheetView showGridLines="0" workbookViewId="0">
      <selection activeCell="B7" sqref="B7"/>
    </sheetView>
  </sheetViews>
  <sheetFormatPr defaultColWidth="8.85546875" defaultRowHeight="15" x14ac:dyDescent="0.25"/>
  <cols>
    <col min="2" max="2" width="7.85546875" bestFit="1" customWidth="1"/>
    <col min="3" max="3" width="67.28515625" bestFit="1" customWidth="1"/>
    <col min="4" max="4" width="15.42578125" bestFit="1" customWidth="1"/>
    <col min="5" max="5" width="13.7109375" bestFit="1" customWidth="1"/>
    <col min="6" max="6" width="12.140625" bestFit="1" customWidth="1"/>
    <col min="7" max="7" width="13.7109375" bestFit="1" customWidth="1"/>
    <col min="8" max="8" width="35.42578125" bestFit="1" customWidth="1"/>
    <col min="9" max="9" width="12.7109375" bestFit="1" customWidth="1"/>
  </cols>
  <sheetData>
    <row r="3" spans="2:9" x14ac:dyDescent="0.25">
      <c r="B3" s="126" t="s">
        <v>422</v>
      </c>
      <c r="C3" s="126"/>
      <c r="D3" s="126"/>
      <c r="E3" s="126"/>
      <c r="F3" s="126"/>
      <c r="G3" s="126"/>
      <c r="H3" s="126"/>
      <c r="I3" s="126"/>
    </row>
    <row r="5" spans="2:9" x14ac:dyDescent="0.25">
      <c r="B5" s="225" t="s">
        <v>42</v>
      </c>
      <c r="C5" s="225" t="s">
        <v>80</v>
      </c>
      <c r="D5" s="225" t="s">
        <v>423</v>
      </c>
      <c r="E5" s="225" t="s">
        <v>424</v>
      </c>
      <c r="F5" s="225" t="s">
        <v>418</v>
      </c>
      <c r="G5" s="225" t="s">
        <v>425</v>
      </c>
      <c r="H5" s="225" t="s">
        <v>426</v>
      </c>
      <c r="I5" s="225" t="s">
        <v>427</v>
      </c>
    </row>
    <row r="6" spans="2:9" x14ac:dyDescent="0.25">
      <c r="B6" s="226">
        <v>1</v>
      </c>
      <c r="C6" s="227" t="s">
        <v>213</v>
      </c>
      <c r="D6" s="228">
        <v>4132903.6280240002</v>
      </c>
      <c r="E6" s="228">
        <v>384713.87918400002</v>
      </c>
      <c r="F6" s="228"/>
      <c r="G6" s="228">
        <v>384713.87918400002</v>
      </c>
      <c r="H6" s="229">
        <v>46068</v>
      </c>
      <c r="I6" s="227" t="s">
        <v>6</v>
      </c>
    </row>
    <row r="7" spans="2:9" x14ac:dyDescent="0.25">
      <c r="B7" s="226">
        <f>B6+1</f>
        <v>2</v>
      </c>
      <c r="C7" s="227" t="s">
        <v>113</v>
      </c>
      <c r="D7" s="228">
        <v>7313587</v>
      </c>
      <c r="E7" s="228">
        <v>648203</v>
      </c>
      <c r="F7" s="228">
        <v>-54676</v>
      </c>
      <c r="G7" s="228">
        <v>702879</v>
      </c>
      <c r="H7" s="229">
        <v>46068</v>
      </c>
      <c r="I7" s="227" t="s">
        <v>6</v>
      </c>
    </row>
    <row r="8" spans="2:9" x14ac:dyDescent="0.25">
      <c r="B8" s="226">
        <f>B7+1</f>
        <v>3</v>
      </c>
      <c r="C8" s="227" t="s">
        <v>118</v>
      </c>
      <c r="D8" s="228">
        <v>31038878</v>
      </c>
      <c r="E8" s="228">
        <v>1040266</v>
      </c>
      <c r="F8" s="228"/>
      <c r="G8" s="228">
        <v>1040266</v>
      </c>
      <c r="H8" s="229">
        <v>46168</v>
      </c>
      <c r="I8" s="227" t="s">
        <v>16</v>
      </c>
    </row>
    <row r="9" spans="2:9" x14ac:dyDescent="0.25">
      <c r="B9" s="226">
        <f>B8+1</f>
        <v>4</v>
      </c>
      <c r="C9" s="227" t="s">
        <v>262</v>
      </c>
      <c r="D9" s="228">
        <v>40416545</v>
      </c>
      <c r="E9" s="228">
        <v>418550</v>
      </c>
      <c r="F9" s="228"/>
      <c r="G9" s="228">
        <v>418550</v>
      </c>
      <c r="H9" s="229">
        <v>46317</v>
      </c>
      <c r="I9" s="227" t="s">
        <v>16</v>
      </c>
    </row>
    <row r="10" spans="2:9" x14ac:dyDescent="0.25">
      <c r="B10" s="227"/>
      <c r="C10" s="230" t="s">
        <v>158</v>
      </c>
      <c r="D10" s="231">
        <f>SUM(D6:D9)</f>
        <v>82901913.628023997</v>
      </c>
      <c r="E10" s="231">
        <f t="shared" ref="E10:G10" si="0">SUM(E6:E9)</f>
        <v>2491732.8791840002</v>
      </c>
      <c r="F10" s="231">
        <f t="shared" si="0"/>
        <v>-54676</v>
      </c>
      <c r="G10" s="231">
        <f t="shared" si="0"/>
        <v>2546408.8791840002</v>
      </c>
      <c r="H10" s="227"/>
      <c r="I10" s="22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"/>
  <sheetViews>
    <sheetView workbookViewId="0">
      <selection activeCell="A6" sqref="A6"/>
    </sheetView>
  </sheetViews>
  <sheetFormatPr defaultColWidth="8.85546875" defaultRowHeight="15" x14ac:dyDescent="0.25"/>
  <sheetData>
    <row r="1" spans="1:1" x14ac:dyDescent="0.25">
      <c r="A1" t="s">
        <v>142</v>
      </c>
    </row>
    <row r="2" spans="1:1" x14ac:dyDescent="0.25">
      <c r="A2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P33"/>
  <sheetViews>
    <sheetView topLeftCell="B1" workbookViewId="0">
      <selection activeCell="M1" sqref="M1"/>
    </sheetView>
  </sheetViews>
  <sheetFormatPr defaultColWidth="8.85546875" defaultRowHeight="15" x14ac:dyDescent="0.25"/>
  <cols>
    <col min="2" max="2" width="21.42578125" bestFit="1" customWidth="1"/>
    <col min="3" max="3" width="17.85546875" bestFit="1" customWidth="1"/>
    <col min="4" max="4" width="15.42578125" bestFit="1" customWidth="1"/>
    <col min="5" max="5" width="14.7109375" bestFit="1" customWidth="1"/>
    <col min="8" max="8" width="24.5703125" bestFit="1" customWidth="1"/>
    <col min="9" max="9" width="14.7109375" bestFit="1" customWidth="1"/>
    <col min="11" max="11" width="8.85546875" style="215"/>
    <col min="13" max="13" width="48" bestFit="1" customWidth="1"/>
    <col min="14" max="14" width="14.7109375" bestFit="1" customWidth="1"/>
  </cols>
  <sheetData>
    <row r="2" spans="1:15" x14ac:dyDescent="0.25">
      <c r="C2" t="s">
        <v>412</v>
      </c>
      <c r="D2" t="s">
        <v>297</v>
      </c>
      <c r="E2" t="s">
        <v>158</v>
      </c>
    </row>
    <row r="3" spans="1:15" x14ac:dyDescent="0.25">
      <c r="B3" t="s">
        <v>455</v>
      </c>
      <c r="C3" s="79">
        <v>12000000</v>
      </c>
      <c r="D3" s="208">
        <f>E3-C3</f>
        <v>108000000</v>
      </c>
      <c r="E3" s="79">
        <v>120000000</v>
      </c>
      <c r="H3" t="s">
        <v>472</v>
      </c>
      <c r="M3" t="s">
        <v>491</v>
      </c>
    </row>
    <row r="6" spans="1:15" x14ac:dyDescent="0.25">
      <c r="B6" s="73"/>
    </row>
    <row r="8" spans="1:15" x14ac:dyDescent="0.25">
      <c r="A8" s="194" t="s">
        <v>457</v>
      </c>
      <c r="B8" s="256" t="s">
        <v>456</v>
      </c>
      <c r="C8" s="205">
        <v>3927525.0932617998</v>
      </c>
      <c r="H8" s="256" t="s">
        <v>456</v>
      </c>
      <c r="I8" s="205">
        <v>3927525.0932617998</v>
      </c>
      <c r="M8" s="73" t="s">
        <v>492</v>
      </c>
      <c r="N8" s="203">
        <v>3937411.6832951</v>
      </c>
    </row>
    <row r="9" spans="1:15" x14ac:dyDescent="0.25">
      <c r="A9" s="194"/>
      <c r="M9" s="73" t="s">
        <v>493</v>
      </c>
      <c r="N9" s="203">
        <v>5200000</v>
      </c>
    </row>
    <row r="10" spans="1:15" x14ac:dyDescent="0.25">
      <c r="A10" s="194" t="s">
        <v>458</v>
      </c>
      <c r="B10" t="s">
        <v>459</v>
      </c>
      <c r="C10" s="79">
        <f>'Cash and Margin - old'!R7</f>
        <v>145716476.24478674</v>
      </c>
      <c r="H10" t="s">
        <v>473</v>
      </c>
      <c r="I10" s="79">
        <f>'Cash and Margin - old'!T22</f>
        <v>0</v>
      </c>
      <c r="M10" t="s">
        <v>494</v>
      </c>
      <c r="N10" s="79">
        <v>5500000</v>
      </c>
      <c r="O10" t="s">
        <v>495</v>
      </c>
    </row>
    <row r="11" spans="1:15" x14ac:dyDescent="0.25">
      <c r="B11" t="s">
        <v>460</v>
      </c>
      <c r="M11" t="s">
        <v>496</v>
      </c>
      <c r="N11" s="79">
        <v>6000000</v>
      </c>
    </row>
    <row r="12" spans="1:15" x14ac:dyDescent="0.25">
      <c r="M12" t="s">
        <v>497</v>
      </c>
      <c r="N12" s="79">
        <v>6000000</v>
      </c>
    </row>
    <row r="13" spans="1:15" x14ac:dyDescent="0.25">
      <c r="A13" s="194" t="s">
        <v>461</v>
      </c>
      <c r="B13" t="s">
        <v>378</v>
      </c>
      <c r="C13" s="79">
        <f>5200000</f>
        <v>5200000</v>
      </c>
      <c r="H13" t="s">
        <v>378</v>
      </c>
      <c r="I13" s="79">
        <f>5200000</f>
        <v>5200000</v>
      </c>
      <c r="M13" t="s">
        <v>498</v>
      </c>
      <c r="N13" s="79">
        <v>29700000</v>
      </c>
    </row>
    <row r="14" spans="1:15" x14ac:dyDescent="0.25">
      <c r="M14" t="s">
        <v>499</v>
      </c>
      <c r="N14" s="79">
        <v>0</v>
      </c>
    </row>
    <row r="15" spans="1:15" x14ac:dyDescent="0.25">
      <c r="A15" s="194" t="s">
        <v>462</v>
      </c>
      <c r="B15" t="s">
        <v>77</v>
      </c>
      <c r="C15" s="79">
        <v>5799552</v>
      </c>
      <c r="H15" t="s">
        <v>77</v>
      </c>
      <c r="I15" s="79">
        <v>5799552</v>
      </c>
      <c r="M15" t="s">
        <v>500</v>
      </c>
      <c r="N15" s="203">
        <f>SUM(N16:N17)</f>
        <v>169992513.50912479</v>
      </c>
    </row>
    <row r="16" spans="1:15" x14ac:dyDescent="0.25">
      <c r="M16" s="267" t="s">
        <v>501</v>
      </c>
      <c r="N16" s="79">
        <f>'Cash and Margin - old'!R7</f>
        <v>145716476.24478674</v>
      </c>
    </row>
    <row r="17" spans="1:16" x14ac:dyDescent="0.25">
      <c r="A17" s="194" t="s">
        <v>463</v>
      </c>
      <c r="B17" t="s">
        <v>52</v>
      </c>
      <c r="C17" s="79">
        <v>5632941</v>
      </c>
      <c r="H17" t="s">
        <v>52</v>
      </c>
      <c r="I17" s="79">
        <f>'Networth Inputs - old'!E14</f>
        <v>1550293</v>
      </c>
      <c r="M17" s="267" t="s">
        <v>502</v>
      </c>
      <c r="N17" s="79">
        <f>'Cash and Margin - old'!P10*2</f>
        <v>24276037.264338057</v>
      </c>
    </row>
    <row r="18" spans="1:16" x14ac:dyDescent="0.25">
      <c r="H18" t="s">
        <v>474</v>
      </c>
      <c r="I18" s="79">
        <f>'Networth Inputs - old'!E15</f>
        <v>4287189</v>
      </c>
    </row>
    <row r="19" spans="1:16" x14ac:dyDescent="0.25">
      <c r="A19" s="194" t="s">
        <v>464</v>
      </c>
      <c r="B19" t="s">
        <v>465</v>
      </c>
      <c r="C19" s="79">
        <f>'Networth Inputs - old'!E21-(25000000-C20)</f>
        <v>15463057.299999982</v>
      </c>
      <c r="M19" s="73" t="s">
        <v>503</v>
      </c>
      <c r="N19" s="203">
        <f>SUM(N8:N15)</f>
        <v>226329925.19241989</v>
      </c>
    </row>
    <row r="20" spans="1:16" x14ac:dyDescent="0.25">
      <c r="B20" t="s">
        <v>466</v>
      </c>
      <c r="C20" s="79">
        <f>SUMIFS('Equity Holdings'!$J$11:$J$49,'Equity Holdings'!$H$11:$H$49,'Equity Holdings'!$H$16)</f>
        <v>40448205.299999982</v>
      </c>
      <c r="H20" t="s">
        <v>475</v>
      </c>
      <c r="I20" s="79">
        <f>C22</f>
        <v>48398458</v>
      </c>
    </row>
    <row r="21" spans="1:16" x14ac:dyDescent="0.25">
      <c r="M21" t="s">
        <v>504</v>
      </c>
    </row>
    <row r="22" spans="1:16" x14ac:dyDescent="0.25">
      <c r="A22" s="194" t="s">
        <v>467</v>
      </c>
      <c r="B22" t="s">
        <v>281</v>
      </c>
      <c r="C22" s="79">
        <f>'Networth Inputs - old'!E36</f>
        <v>48398458</v>
      </c>
      <c r="H22" t="s">
        <v>476</v>
      </c>
      <c r="I22" s="79">
        <f>C19</f>
        <v>15463057.299999982</v>
      </c>
    </row>
    <row r="23" spans="1:16" ht="15.75" thickBot="1" x14ac:dyDescent="0.3"/>
    <row r="24" spans="1:16" x14ac:dyDescent="0.25">
      <c r="H24" s="73" t="s">
        <v>477</v>
      </c>
      <c r="I24" s="203">
        <f>SUM(I8:I22)</f>
        <v>84626074.39326179</v>
      </c>
      <c r="M24" s="305"/>
      <c r="N24" s="306"/>
      <c r="O24" s="306"/>
      <c r="P24" s="307"/>
    </row>
    <row r="25" spans="1:16" x14ac:dyDescent="0.25">
      <c r="B25" s="73" t="s">
        <v>468</v>
      </c>
      <c r="C25" s="250">
        <f>C8+C10+C13+C15+C17+C19+C22</f>
        <v>230138009.63804853</v>
      </c>
      <c r="M25" s="308" t="s">
        <v>520</v>
      </c>
      <c r="N25" s="256" t="s">
        <v>521</v>
      </c>
      <c r="O25" s="256"/>
      <c r="P25" s="309"/>
    </row>
    <row r="26" spans="1:16" x14ac:dyDescent="0.25">
      <c r="B26" s="73" t="s">
        <v>469</v>
      </c>
      <c r="C26" s="250">
        <f>C25-E3</f>
        <v>110138009.63804853</v>
      </c>
      <c r="H26" t="s">
        <v>478</v>
      </c>
      <c r="M26" s="308" t="s">
        <v>523</v>
      </c>
      <c r="N26" s="256" t="s">
        <v>522</v>
      </c>
      <c r="O26" s="256"/>
      <c r="P26" s="309"/>
    </row>
    <row r="27" spans="1:16" x14ac:dyDescent="0.25">
      <c r="M27" s="308" t="s">
        <v>475</v>
      </c>
      <c r="N27" s="256" t="s">
        <v>524</v>
      </c>
      <c r="O27" s="256"/>
      <c r="P27" s="309"/>
    </row>
    <row r="28" spans="1:16" x14ac:dyDescent="0.25">
      <c r="B28" t="s">
        <v>470</v>
      </c>
      <c r="M28" s="308" t="s">
        <v>525</v>
      </c>
      <c r="N28" s="256" t="s">
        <v>519</v>
      </c>
      <c r="O28" s="256"/>
      <c r="P28" s="309"/>
    </row>
    <row r="29" spans="1:16" x14ac:dyDescent="0.25">
      <c r="M29" s="308" t="s">
        <v>502</v>
      </c>
      <c r="N29" s="256" t="s">
        <v>529</v>
      </c>
      <c r="O29" s="256" t="s">
        <v>528</v>
      </c>
      <c r="P29" s="309"/>
    </row>
    <row r="30" spans="1:16" x14ac:dyDescent="0.25">
      <c r="M30" s="308" t="s">
        <v>526</v>
      </c>
      <c r="N30" s="256" t="s">
        <v>527</v>
      </c>
      <c r="O30" s="256"/>
      <c r="P30" s="309"/>
    </row>
    <row r="31" spans="1:16" x14ac:dyDescent="0.25">
      <c r="M31" s="308"/>
      <c r="N31" s="256"/>
      <c r="O31" s="256"/>
      <c r="P31" s="309"/>
    </row>
    <row r="32" spans="1:16" x14ac:dyDescent="0.25">
      <c r="M32" s="308"/>
      <c r="N32" s="310">
        <f>0.39+0.5+4.83+11+1+0.75</f>
        <v>18.47</v>
      </c>
      <c r="O32" s="256" t="s">
        <v>530</v>
      </c>
      <c r="P32" s="309"/>
    </row>
    <row r="33" spans="13:16" ht="15.75" thickBot="1" x14ac:dyDescent="0.3">
      <c r="M33" s="311"/>
      <c r="N33" s="312"/>
      <c r="O33" s="312"/>
      <c r="P33" s="313"/>
    </row>
  </sheetData>
  <conditionalFormatting sqref="C26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N44"/>
  <sheetViews>
    <sheetView zoomScaleNormal="100" workbookViewId="0">
      <selection activeCell="F6" sqref="F6:F31"/>
    </sheetView>
  </sheetViews>
  <sheetFormatPr defaultColWidth="9.140625" defaultRowHeight="15" x14ac:dyDescent="0.25"/>
  <cols>
    <col min="1" max="1" width="9.140625" style="3"/>
    <col min="2" max="2" width="32.42578125" style="3" bestFit="1" customWidth="1"/>
    <col min="3" max="3" width="15" style="3" bestFit="1" customWidth="1"/>
    <col min="4" max="4" width="14.85546875" style="3" bestFit="1" customWidth="1"/>
    <col min="5" max="6" width="20" style="3" bestFit="1" customWidth="1"/>
    <col min="7" max="7" width="20" style="3" customWidth="1"/>
    <col min="8" max="8" width="15" style="3" bestFit="1" customWidth="1"/>
    <col min="9" max="10" width="9.140625" style="3"/>
    <col min="11" max="11" width="19.140625" style="3" customWidth="1"/>
    <col min="12" max="12" width="19.85546875" style="3" bestFit="1" customWidth="1"/>
    <col min="13" max="16384" width="9.140625" style="3"/>
  </cols>
  <sheetData>
    <row r="1" spans="1:12" x14ac:dyDescent="0.25">
      <c r="B1" s="202"/>
      <c r="L1" s="69" t="s">
        <v>215</v>
      </c>
    </row>
    <row r="2" spans="1:12" x14ac:dyDescent="0.25">
      <c r="L2" s="69" t="s">
        <v>216</v>
      </c>
    </row>
    <row r="3" spans="1:12" x14ac:dyDescent="0.25">
      <c r="G3" s="4">
        <f>SUM(G5:G302)</f>
        <v>24471885.518952124</v>
      </c>
      <c r="L3" s="69" t="s">
        <v>217</v>
      </c>
    </row>
    <row r="4" spans="1:12" x14ac:dyDescent="0.25">
      <c r="A4" s="72" t="s">
        <v>129</v>
      </c>
      <c r="B4" s="72" t="s">
        <v>130</v>
      </c>
      <c r="C4" s="72" t="s">
        <v>131</v>
      </c>
      <c r="D4" s="72" t="s">
        <v>132</v>
      </c>
      <c r="E4" s="72" t="s">
        <v>133</v>
      </c>
      <c r="F4" s="72" t="s">
        <v>135</v>
      </c>
      <c r="G4" s="8" t="s">
        <v>261</v>
      </c>
      <c r="H4" s="72" t="s">
        <v>219</v>
      </c>
      <c r="I4" s="72" t="s">
        <v>220</v>
      </c>
      <c r="L4" s="69" t="s">
        <v>218</v>
      </c>
    </row>
    <row r="5" spans="1:12" hidden="1" x14ac:dyDescent="0.25">
      <c r="A5" s="3">
        <v>1</v>
      </c>
      <c r="B5" s="12" t="s">
        <v>75</v>
      </c>
      <c r="C5" s="3" t="s">
        <v>134</v>
      </c>
      <c r="D5" s="27">
        <v>1.4999999999999999E-2</v>
      </c>
      <c r="E5" s="4">
        <f>'Cash and Margin - old'!C22</f>
        <v>728281117.93014169</v>
      </c>
      <c r="F5" s="4">
        <f>E5</f>
        <v>728281117.93014169</v>
      </c>
      <c r="G5" s="4">
        <f>+IF(C5=$C$5,D5*F5,"")</f>
        <v>10924216.768952126</v>
      </c>
      <c r="L5" s="69" t="s">
        <v>221</v>
      </c>
    </row>
    <row r="6" spans="1:12" x14ac:dyDescent="0.25">
      <c r="A6" s="3">
        <f>A5+1</f>
        <v>2</v>
      </c>
      <c r="B6" s="12" t="s">
        <v>75</v>
      </c>
      <c r="C6" s="3" t="s">
        <v>136</v>
      </c>
      <c r="D6" s="28">
        <v>2.12</v>
      </c>
      <c r="E6" s="4">
        <f>'Cash and Margin - old'!C22</f>
        <v>728281117.93014169</v>
      </c>
      <c r="F6" s="4">
        <f>E6*D6</f>
        <v>1543955970.0119004</v>
      </c>
      <c r="G6" s="4" t="str">
        <f t="shared" ref="G6:G42" si="0">+IF(C6=$C$5,D6*F6,"")</f>
        <v/>
      </c>
    </row>
    <row r="7" spans="1:12" hidden="1" x14ac:dyDescent="0.25">
      <c r="A7" s="3">
        <f>A6+1</f>
        <v>3</v>
      </c>
      <c r="B7" s="12" t="s">
        <v>75</v>
      </c>
      <c r="C7" s="3" t="s">
        <v>58</v>
      </c>
      <c r="D7" s="28">
        <v>1</v>
      </c>
      <c r="E7" s="286">
        <f>'Cash and Margin - old'!A27</f>
        <v>304237500</v>
      </c>
      <c r="F7" s="4">
        <f>E7</f>
        <v>304237500</v>
      </c>
      <c r="G7" s="4" t="str">
        <f t="shared" si="0"/>
        <v/>
      </c>
    </row>
    <row r="8" spans="1:12" hidden="1" x14ac:dyDescent="0.25">
      <c r="A8" s="3">
        <f>A7+1</f>
        <v>4</v>
      </c>
      <c r="B8" s="12" t="s">
        <v>75</v>
      </c>
      <c r="C8" s="3" t="s">
        <v>137</v>
      </c>
      <c r="D8" s="28">
        <v>1</v>
      </c>
      <c r="E8" s="4">
        <f>'Cash and Margin - old'!A33</f>
        <v>410958817.93014157</v>
      </c>
      <c r="F8" s="4">
        <f>E8</f>
        <v>410958817.93014157</v>
      </c>
      <c r="G8" s="4" t="str">
        <f t="shared" si="0"/>
        <v/>
      </c>
    </row>
    <row r="9" spans="1:12" hidden="1" x14ac:dyDescent="0.25">
      <c r="A9" s="3">
        <f t="shared" ref="A9:A10" si="1">A8+1</f>
        <v>5</v>
      </c>
      <c r="B9" s="12" t="s">
        <v>75</v>
      </c>
      <c r="C9" s="108" t="s">
        <v>271</v>
      </c>
      <c r="D9" s="28">
        <v>1</v>
      </c>
      <c r="E9" s="4">
        <v>0</v>
      </c>
      <c r="F9" s="4">
        <f>E9</f>
        <v>0</v>
      </c>
      <c r="G9" s="4"/>
    </row>
    <row r="10" spans="1:12" hidden="1" x14ac:dyDescent="0.25">
      <c r="A10" s="3">
        <f t="shared" si="1"/>
        <v>6</v>
      </c>
      <c r="B10" s="3" t="s">
        <v>138</v>
      </c>
      <c r="C10" s="3" t="s">
        <v>134</v>
      </c>
      <c r="D10" s="27">
        <v>1.4999999999999999E-2</v>
      </c>
      <c r="E10" s="29">
        <f>194700000*60%</f>
        <v>116820000</v>
      </c>
      <c r="F10" s="4">
        <f>E10</f>
        <v>116820000</v>
      </c>
      <c r="G10" s="4">
        <f t="shared" si="0"/>
        <v>1752300</v>
      </c>
    </row>
    <row r="11" spans="1:12" x14ac:dyDescent="0.25">
      <c r="A11" s="3">
        <f>A10+1</f>
        <v>7</v>
      </c>
      <c r="B11" s="3" t="s">
        <v>138</v>
      </c>
      <c r="C11" s="3" t="s">
        <v>136</v>
      </c>
      <c r="D11" s="28">
        <v>2</v>
      </c>
      <c r="E11" s="29">
        <f>194700000*60%</f>
        <v>116820000</v>
      </c>
      <c r="F11" s="4">
        <f>D11*E11</f>
        <v>233640000</v>
      </c>
      <c r="G11" s="4" t="str">
        <f t="shared" si="0"/>
        <v/>
      </c>
      <c r="H11" s="96">
        <f>9372839+2500000</f>
        <v>11872839</v>
      </c>
      <c r="I11" s="71">
        <f>E11/H11</f>
        <v>9.8392642231567358</v>
      </c>
      <c r="J11" s="71"/>
      <c r="K11" s="78"/>
    </row>
    <row r="12" spans="1:12" hidden="1" x14ac:dyDescent="0.25">
      <c r="A12" s="3">
        <f t="shared" ref="A12:A44" si="2">A11+1</f>
        <v>8</v>
      </c>
      <c r="B12" s="3" t="s">
        <v>139</v>
      </c>
      <c r="C12" s="3" t="s">
        <v>134</v>
      </c>
      <c r="D12" s="27">
        <v>2.5000000000000001E-2</v>
      </c>
      <c r="E12" s="29">
        <f>(348700000+349000000)*35.75%</f>
        <v>249427750</v>
      </c>
      <c r="F12" s="4">
        <f>E12</f>
        <v>249427750</v>
      </c>
      <c r="G12" s="4">
        <f t="shared" si="0"/>
        <v>6235693.75</v>
      </c>
      <c r="H12" s="55"/>
      <c r="K12" s="83"/>
      <c r="L12" s="55"/>
    </row>
    <row r="13" spans="1:12" x14ac:dyDescent="0.25">
      <c r="A13" s="3">
        <f t="shared" si="2"/>
        <v>9</v>
      </c>
      <c r="B13" s="3" t="s">
        <v>139</v>
      </c>
      <c r="C13" s="3" t="s">
        <v>136</v>
      </c>
      <c r="D13" s="28">
        <v>3.34</v>
      </c>
      <c r="E13" s="29">
        <f>(348700000+349000000)*35.75%</f>
        <v>249427750</v>
      </c>
      <c r="F13" s="4">
        <f>D13*E13</f>
        <v>833088685</v>
      </c>
      <c r="G13" s="4" t="str">
        <f t="shared" si="0"/>
        <v/>
      </c>
      <c r="H13" s="223">
        <f>VLOOKUP("Aurus Alpha Deposit",'Networth Inputs - old'!$C$4:$E$74,3,FALSE)+VLOOKUP("Aurus Alpha Profit",'Networth Inputs - old'!$C$4:$E$74,3,FALSE)</f>
        <v>66384401</v>
      </c>
      <c r="I13" s="97">
        <v>7</v>
      </c>
      <c r="L13" s="55"/>
    </row>
    <row r="14" spans="1:12" hidden="1" x14ac:dyDescent="0.25">
      <c r="A14" s="3">
        <f t="shared" si="2"/>
        <v>10</v>
      </c>
      <c r="B14" s="239" t="s">
        <v>437</v>
      </c>
      <c r="C14" s="3" t="s">
        <v>134</v>
      </c>
      <c r="D14" s="27">
        <v>1.4999999999999999E-2</v>
      </c>
      <c r="E14" s="4">
        <f>1780000000*12.77%</f>
        <v>227306000</v>
      </c>
      <c r="F14" s="4">
        <f>+E14</f>
        <v>227306000</v>
      </c>
      <c r="G14" s="4">
        <f t="shared" si="0"/>
        <v>3409590</v>
      </c>
      <c r="H14" s="55"/>
      <c r="K14" s="55"/>
      <c r="L14" s="101" t="s">
        <v>266</v>
      </c>
    </row>
    <row r="15" spans="1:12" x14ac:dyDescent="0.25">
      <c r="A15" s="3">
        <f t="shared" si="2"/>
        <v>11</v>
      </c>
      <c r="B15" s="239" t="s">
        <v>437</v>
      </c>
      <c r="C15" s="3" t="s">
        <v>136</v>
      </c>
      <c r="D15" s="28">
        <v>3</v>
      </c>
      <c r="E15" s="4">
        <f>1780000000*12.77%</f>
        <v>227306000</v>
      </c>
      <c r="F15" s="4">
        <f t="shared" ref="F15:F29" si="3">D15*E15</f>
        <v>681918000</v>
      </c>
      <c r="G15" s="4" t="str">
        <f t="shared" si="0"/>
        <v/>
      </c>
      <c r="H15" s="55">
        <f>VLOOKUP("Marwadi Deposit",'Networth Inputs - old'!$C$4:$E$74,3,FALSE)</f>
        <v>10200000</v>
      </c>
      <c r="I15" s="97">
        <v>10</v>
      </c>
      <c r="L15" s="101" t="s">
        <v>267</v>
      </c>
    </row>
    <row r="16" spans="1:12" hidden="1" x14ac:dyDescent="0.25">
      <c r="A16" s="3">
        <f t="shared" si="2"/>
        <v>12</v>
      </c>
      <c r="B16" s="239" t="s">
        <v>437</v>
      </c>
      <c r="C16" s="108" t="s">
        <v>279</v>
      </c>
      <c r="D16" s="28">
        <v>1</v>
      </c>
      <c r="E16" s="4">
        <f>1780000000*12.77%*40%</f>
        <v>90922400</v>
      </c>
      <c r="F16" s="4">
        <f t="shared" si="3"/>
        <v>90922400</v>
      </c>
      <c r="G16" s="4"/>
      <c r="H16" s="55">
        <f>VLOOKUP("Marwadi Deposit",'Networth Inputs - old'!$C$4:$E$74,3,FALSE)</f>
        <v>10200000</v>
      </c>
      <c r="I16" s="97">
        <v>10</v>
      </c>
      <c r="L16" s="101"/>
    </row>
    <row r="17" spans="1:14" hidden="1" x14ac:dyDescent="0.25">
      <c r="A17" s="3">
        <f t="shared" si="2"/>
        <v>13</v>
      </c>
      <c r="B17" s="239" t="s">
        <v>437</v>
      </c>
      <c r="C17" s="108" t="s">
        <v>280</v>
      </c>
      <c r="D17" s="28">
        <v>1</v>
      </c>
      <c r="E17" s="4">
        <f>1780000000*12.77%*40%</f>
        <v>90922400</v>
      </c>
      <c r="F17" s="4">
        <f t="shared" si="3"/>
        <v>90922400</v>
      </c>
      <c r="G17" s="4"/>
      <c r="H17" s="55">
        <f>VLOOKUP("Marwadi Deposit",'Networth Inputs - old'!$C$4:$E$74,3,FALSE)</f>
        <v>10200000</v>
      </c>
      <c r="I17" s="97">
        <v>10</v>
      </c>
      <c r="L17" s="101"/>
    </row>
    <row r="18" spans="1:14" hidden="1" x14ac:dyDescent="0.25">
      <c r="A18" s="3">
        <f t="shared" si="2"/>
        <v>14</v>
      </c>
      <c r="B18" s="239" t="s">
        <v>438</v>
      </c>
      <c r="C18" s="3" t="s">
        <v>134</v>
      </c>
      <c r="D18" s="27">
        <v>1.4999999999999999E-2</v>
      </c>
      <c r="E18" s="96">
        <f>1420000000*18%*35%</f>
        <v>89460000</v>
      </c>
      <c r="F18" s="4">
        <f>+E18</f>
        <v>89460000</v>
      </c>
      <c r="G18" s="4">
        <f t="shared" si="0"/>
        <v>1341900</v>
      </c>
      <c r="K18" s="55"/>
      <c r="L18" s="101" t="s">
        <v>268</v>
      </c>
    </row>
    <row r="19" spans="1:14" x14ac:dyDescent="0.25">
      <c r="A19" s="3">
        <f t="shared" si="2"/>
        <v>15</v>
      </c>
      <c r="B19" s="239" t="s">
        <v>438</v>
      </c>
      <c r="C19" s="3" t="s">
        <v>136</v>
      </c>
      <c r="D19" s="28">
        <v>3</v>
      </c>
      <c r="E19" s="96">
        <f>1420000000*18%*35%</f>
        <v>89460000</v>
      </c>
      <c r="F19" s="4">
        <f t="shared" si="3"/>
        <v>268380000</v>
      </c>
      <c r="G19" s="4" t="str">
        <f t="shared" si="0"/>
        <v/>
      </c>
      <c r="H19" s="4">
        <f>VLOOKUP("Marwadi FPI Deposit (FD)",'Networth Inputs - old'!$C$4:$E$74,3,FALSE)</f>
        <v>2625000</v>
      </c>
      <c r="I19" s="251">
        <f>E19/H19</f>
        <v>34.08</v>
      </c>
      <c r="K19" s="55"/>
      <c r="L19" s="101" t="s">
        <v>269</v>
      </c>
      <c r="N19" s="78"/>
    </row>
    <row r="20" spans="1:14" hidden="1" x14ac:dyDescent="0.25">
      <c r="A20" s="3">
        <f t="shared" si="2"/>
        <v>16</v>
      </c>
      <c r="B20" s="239" t="s">
        <v>438</v>
      </c>
      <c r="C20" s="108" t="s">
        <v>280</v>
      </c>
      <c r="D20" s="28">
        <v>1</v>
      </c>
      <c r="E20" s="96">
        <f>1420000000*18%*35%*60%</f>
        <v>53676000</v>
      </c>
      <c r="F20" s="4">
        <f t="shared" si="3"/>
        <v>53676000</v>
      </c>
      <c r="G20" s="4"/>
      <c r="H20" s="4"/>
      <c r="I20" s="57"/>
      <c r="K20" s="55"/>
      <c r="L20" s="101"/>
      <c r="N20" s="78"/>
    </row>
    <row r="21" spans="1:14" hidden="1" x14ac:dyDescent="0.25">
      <c r="A21" s="3">
        <f t="shared" si="2"/>
        <v>17</v>
      </c>
      <c r="B21" s="78" t="s">
        <v>260</v>
      </c>
      <c r="C21" s="3" t="s">
        <v>134</v>
      </c>
      <c r="D21" s="27">
        <v>1.4999999999999999E-2</v>
      </c>
      <c r="E21" s="96">
        <f>248800000*30%*35%</f>
        <v>26124000</v>
      </c>
      <c r="F21" s="4">
        <f>+E21</f>
        <v>26124000</v>
      </c>
      <c r="G21" s="4">
        <f t="shared" si="0"/>
        <v>391860</v>
      </c>
      <c r="K21" s="52"/>
    </row>
    <row r="22" spans="1:14" x14ac:dyDescent="0.25">
      <c r="A22" s="3">
        <f t="shared" si="2"/>
        <v>18</v>
      </c>
      <c r="B22" s="78" t="s">
        <v>260</v>
      </c>
      <c r="C22" s="3" t="s">
        <v>136</v>
      </c>
      <c r="D22" s="28">
        <v>3</v>
      </c>
      <c r="E22" s="96">
        <f>248800000*30%*35%</f>
        <v>26124000</v>
      </c>
      <c r="F22" s="4">
        <f t="shared" si="3"/>
        <v>78372000</v>
      </c>
      <c r="G22" s="4" t="str">
        <f t="shared" si="0"/>
        <v/>
      </c>
    </row>
    <row r="23" spans="1:14" hidden="1" x14ac:dyDescent="0.25">
      <c r="A23" s="3">
        <f t="shared" si="2"/>
        <v>19</v>
      </c>
      <c r="B23" s="78" t="s">
        <v>260</v>
      </c>
      <c r="C23" s="108" t="s">
        <v>280</v>
      </c>
      <c r="D23" s="28">
        <v>1</v>
      </c>
      <c r="E23" s="96">
        <f>248800000*30%*35%*60%</f>
        <v>15674400</v>
      </c>
      <c r="F23" s="4">
        <f t="shared" si="3"/>
        <v>15674400</v>
      </c>
      <c r="G23" s="4" t="str">
        <f t="shared" si="0"/>
        <v/>
      </c>
    </row>
    <row r="24" spans="1:14" hidden="1" x14ac:dyDescent="0.25">
      <c r="A24" s="3">
        <f t="shared" si="2"/>
        <v>20</v>
      </c>
      <c r="B24" s="78" t="s">
        <v>260</v>
      </c>
      <c r="C24" s="108" t="s">
        <v>279</v>
      </c>
      <c r="D24" s="28">
        <v>1</v>
      </c>
      <c r="E24" s="96">
        <f>248800000*30%*35%*40%</f>
        <v>10449600</v>
      </c>
      <c r="F24" s="4">
        <f t="shared" si="3"/>
        <v>10449600</v>
      </c>
      <c r="G24" s="4" t="str">
        <f t="shared" si="0"/>
        <v/>
      </c>
    </row>
    <row r="25" spans="1:14" hidden="1" x14ac:dyDescent="0.25">
      <c r="A25" s="3">
        <f t="shared" si="2"/>
        <v>21</v>
      </c>
      <c r="B25" s="272" t="s">
        <v>506</v>
      </c>
      <c r="C25" s="3" t="s">
        <v>134</v>
      </c>
      <c r="D25" s="27">
        <v>1.4999999999999999E-2</v>
      </c>
      <c r="E25" s="97">
        <f>100000000*20%*35%</f>
        <v>7000000</v>
      </c>
      <c r="F25" s="4">
        <f t="shared" si="3"/>
        <v>105000</v>
      </c>
      <c r="G25" s="4">
        <f t="shared" si="0"/>
        <v>1575</v>
      </c>
    </row>
    <row r="26" spans="1:14" x14ac:dyDescent="0.25">
      <c r="A26" s="3">
        <f t="shared" si="2"/>
        <v>22</v>
      </c>
      <c r="B26" s="272" t="s">
        <v>506</v>
      </c>
      <c r="C26" s="3" t="s">
        <v>136</v>
      </c>
      <c r="D26" s="28">
        <v>2</v>
      </c>
      <c r="E26" s="97">
        <f>100000000*20%*35%</f>
        <v>7000000</v>
      </c>
      <c r="F26" s="4">
        <f t="shared" si="3"/>
        <v>14000000</v>
      </c>
      <c r="G26" s="4" t="str">
        <f t="shared" si="0"/>
        <v/>
      </c>
    </row>
    <row r="27" spans="1:14" hidden="1" x14ac:dyDescent="0.25">
      <c r="A27" s="3">
        <f t="shared" si="2"/>
        <v>23</v>
      </c>
      <c r="B27" s="102"/>
      <c r="C27" s="102"/>
      <c r="D27" s="28"/>
      <c r="G27" s="4" t="str">
        <f t="shared" si="0"/>
        <v/>
      </c>
      <c r="L27" s="23" t="s">
        <v>282</v>
      </c>
    </row>
    <row r="28" spans="1:14" hidden="1" x14ac:dyDescent="0.25">
      <c r="A28" s="3">
        <f t="shared" si="2"/>
        <v>24</v>
      </c>
      <c r="B28" s="3" t="s">
        <v>138</v>
      </c>
      <c r="C28" s="108" t="s">
        <v>280</v>
      </c>
      <c r="D28" s="28">
        <v>1</v>
      </c>
      <c r="E28" s="29">
        <f>194700000*60%*60%</f>
        <v>70092000</v>
      </c>
      <c r="F28" s="4">
        <f t="shared" si="3"/>
        <v>70092000</v>
      </c>
      <c r="G28" s="4" t="str">
        <f t="shared" si="0"/>
        <v/>
      </c>
    </row>
    <row r="29" spans="1:14" hidden="1" x14ac:dyDescent="0.25">
      <c r="A29" s="3">
        <f t="shared" si="2"/>
        <v>25</v>
      </c>
      <c r="B29" s="3" t="s">
        <v>138</v>
      </c>
      <c r="C29" s="108" t="s">
        <v>279</v>
      </c>
      <c r="D29" s="28">
        <v>1</v>
      </c>
      <c r="E29" s="29">
        <f>180000000*60%*0%</f>
        <v>0</v>
      </c>
      <c r="F29" s="4">
        <f t="shared" si="3"/>
        <v>0</v>
      </c>
      <c r="G29" s="4" t="str">
        <f t="shared" si="0"/>
        <v/>
      </c>
    </row>
    <row r="30" spans="1:14" hidden="1" x14ac:dyDescent="0.25">
      <c r="A30" s="3">
        <f t="shared" si="2"/>
        <v>26</v>
      </c>
      <c r="B30" s="121" t="s">
        <v>276</v>
      </c>
      <c r="C30" s="3" t="s">
        <v>134</v>
      </c>
      <c r="D30" s="27">
        <v>0.02</v>
      </c>
      <c r="E30" s="96">
        <f>197500000*30%*35%</f>
        <v>20737500</v>
      </c>
      <c r="F30" s="4">
        <f>+E30</f>
        <v>20737500</v>
      </c>
      <c r="G30" s="4">
        <f t="shared" si="0"/>
        <v>414750</v>
      </c>
    </row>
    <row r="31" spans="1:14" x14ac:dyDescent="0.25">
      <c r="A31" s="3">
        <f t="shared" si="2"/>
        <v>27</v>
      </c>
      <c r="B31" s="121" t="s">
        <v>276</v>
      </c>
      <c r="C31" s="3" t="s">
        <v>136</v>
      </c>
      <c r="D31" s="28">
        <v>6</v>
      </c>
      <c r="E31" s="96">
        <f>197500000*30%*35%</f>
        <v>20737500</v>
      </c>
      <c r="F31" s="4">
        <f t="shared" ref="F31:F35" si="4">D31*E31</f>
        <v>124425000</v>
      </c>
      <c r="G31" s="269"/>
    </row>
    <row r="32" spans="1:14" hidden="1" x14ac:dyDescent="0.25">
      <c r="A32" s="3">
        <f t="shared" si="2"/>
        <v>28</v>
      </c>
      <c r="B32" s="3" t="s">
        <v>139</v>
      </c>
      <c r="C32" s="108" t="s">
        <v>280</v>
      </c>
      <c r="D32" s="28">
        <v>1.17</v>
      </c>
      <c r="E32" s="29">
        <f>(348700000+349000000)*35.75%*60%</f>
        <v>149656650</v>
      </c>
      <c r="F32" s="4">
        <f t="shared" si="4"/>
        <v>175098280.5</v>
      </c>
      <c r="G32" s="4" t="str">
        <f t="shared" si="0"/>
        <v/>
      </c>
      <c r="I32" s="97">
        <v>7</v>
      </c>
      <c r="K32" s="4">
        <f>((346700000+346900000)*35.75%)*70.2%</f>
        <v>174069324.00000003</v>
      </c>
    </row>
    <row r="33" spans="1:11" hidden="1" x14ac:dyDescent="0.25">
      <c r="A33" s="3">
        <f t="shared" si="2"/>
        <v>29</v>
      </c>
      <c r="B33" s="3" t="s">
        <v>139</v>
      </c>
      <c r="C33" s="108" t="s">
        <v>279</v>
      </c>
      <c r="D33" s="28">
        <v>1.17</v>
      </c>
      <c r="E33" s="29">
        <f>(348700000+349000000)*35.75%*40%</f>
        <v>99771100</v>
      </c>
      <c r="F33" s="4">
        <f t="shared" si="4"/>
        <v>116732187</v>
      </c>
      <c r="G33" s="4" t="str">
        <f t="shared" si="0"/>
        <v/>
      </c>
      <c r="I33" s="97">
        <v>7</v>
      </c>
      <c r="K33" s="4">
        <f>((346700000+346900000)*35.75%)*46.8%</f>
        <v>116046216</v>
      </c>
    </row>
    <row r="34" spans="1:11" hidden="1" x14ac:dyDescent="0.25">
      <c r="A34" s="3">
        <f t="shared" si="2"/>
        <v>30</v>
      </c>
      <c r="B34" s="239" t="s">
        <v>437</v>
      </c>
      <c r="C34" s="240" t="s">
        <v>137</v>
      </c>
      <c r="D34" s="28">
        <v>1</v>
      </c>
      <c r="E34" s="4">
        <f>E17+E38</f>
        <v>129232400</v>
      </c>
      <c r="F34" s="4">
        <f t="shared" si="4"/>
        <v>129232400</v>
      </c>
      <c r="G34" s="4" t="str">
        <f t="shared" si="0"/>
        <v/>
      </c>
    </row>
    <row r="35" spans="1:11" hidden="1" x14ac:dyDescent="0.25">
      <c r="A35" s="3">
        <f t="shared" si="2"/>
        <v>31</v>
      </c>
      <c r="B35" s="239" t="s">
        <v>438</v>
      </c>
      <c r="C35" s="240" t="s">
        <v>137</v>
      </c>
      <c r="D35" s="28">
        <v>1</v>
      </c>
      <c r="E35" s="55">
        <f>E20</f>
        <v>53676000</v>
      </c>
      <c r="F35" s="4">
        <f t="shared" si="4"/>
        <v>53676000</v>
      </c>
      <c r="G35" s="4" t="str">
        <f t="shared" si="0"/>
        <v/>
      </c>
    </row>
    <row r="36" spans="1:11" hidden="1" x14ac:dyDescent="0.25">
      <c r="A36" s="3">
        <f t="shared" si="2"/>
        <v>32</v>
      </c>
      <c r="B36" s="78" t="s">
        <v>260</v>
      </c>
      <c r="C36" s="240" t="s">
        <v>137</v>
      </c>
      <c r="D36" s="28">
        <v>1</v>
      </c>
      <c r="E36" s="55">
        <f>E23+E39</f>
        <v>18824400</v>
      </c>
      <c r="F36" s="4">
        <f t="shared" ref="F36:F37" si="5">D36*E36</f>
        <v>18824400</v>
      </c>
      <c r="G36" s="4" t="str">
        <f t="shared" si="0"/>
        <v/>
      </c>
    </row>
    <row r="37" spans="1:11" hidden="1" x14ac:dyDescent="0.25">
      <c r="A37" s="3">
        <f t="shared" si="2"/>
        <v>33</v>
      </c>
      <c r="B37" s="3" t="s">
        <v>138</v>
      </c>
      <c r="C37" s="240" t="s">
        <v>137</v>
      </c>
      <c r="D37" s="28">
        <v>1</v>
      </c>
      <c r="E37" s="57">
        <f>E28</f>
        <v>70092000</v>
      </c>
      <c r="F37" s="4">
        <f t="shared" si="5"/>
        <v>70092000</v>
      </c>
      <c r="G37" s="4" t="str">
        <f t="shared" si="0"/>
        <v/>
      </c>
    </row>
    <row r="38" spans="1:11" hidden="1" x14ac:dyDescent="0.25">
      <c r="A38" s="3">
        <f t="shared" si="2"/>
        <v>34</v>
      </c>
      <c r="B38" s="239" t="s">
        <v>437</v>
      </c>
      <c r="C38" s="108" t="s">
        <v>271</v>
      </c>
      <c r="D38" s="28">
        <v>1</v>
      </c>
      <c r="E38" s="4">
        <f>10*30000000*12.77%</f>
        <v>38310000</v>
      </c>
      <c r="F38" s="4">
        <f t="shared" ref="F38:F39" si="6">D38*E38</f>
        <v>38310000</v>
      </c>
      <c r="G38" s="4" t="str">
        <f t="shared" si="0"/>
        <v/>
      </c>
      <c r="H38" s="55">
        <f>VLOOKUP("Marwadi Deposit",'Networth Inputs - old'!$C$4:$E$74,3,FALSE)</f>
        <v>10200000</v>
      </c>
      <c r="I38" s="97">
        <v>10</v>
      </c>
    </row>
    <row r="39" spans="1:11" hidden="1" x14ac:dyDescent="0.25">
      <c r="A39" s="3">
        <f t="shared" si="2"/>
        <v>35</v>
      </c>
      <c r="B39" s="78" t="s">
        <v>260</v>
      </c>
      <c r="C39" s="108" t="s">
        <v>271</v>
      </c>
      <c r="D39" s="28">
        <v>1</v>
      </c>
      <c r="E39" s="29">
        <f>30000000*30%*35%</f>
        <v>3150000</v>
      </c>
      <c r="F39" s="4">
        <f t="shared" si="6"/>
        <v>3150000</v>
      </c>
      <c r="G39" s="4" t="str">
        <f t="shared" si="0"/>
        <v/>
      </c>
    </row>
    <row r="40" spans="1:11" hidden="1" x14ac:dyDescent="0.25">
      <c r="A40" s="3">
        <f t="shared" si="2"/>
        <v>36</v>
      </c>
      <c r="B40" s="12" t="s">
        <v>75</v>
      </c>
      <c r="C40" s="239" t="s">
        <v>434</v>
      </c>
      <c r="D40" s="28">
        <v>1</v>
      </c>
      <c r="E40" s="4">
        <v>0</v>
      </c>
      <c r="F40" s="4">
        <f>E40*D40</f>
        <v>0</v>
      </c>
      <c r="G40" s="4" t="str">
        <f t="shared" si="0"/>
        <v/>
      </c>
    </row>
    <row r="41" spans="1:11" hidden="1" x14ac:dyDescent="0.25">
      <c r="A41" s="3">
        <f t="shared" si="2"/>
        <v>37</v>
      </c>
      <c r="B41" s="3" t="s">
        <v>139</v>
      </c>
      <c r="C41" s="239" t="s">
        <v>434</v>
      </c>
      <c r="D41" s="28">
        <v>1</v>
      </c>
      <c r="E41" s="4">
        <v>0</v>
      </c>
      <c r="F41" s="4">
        <f>E41*D41</f>
        <v>0</v>
      </c>
      <c r="G41" s="4" t="str">
        <f t="shared" si="0"/>
        <v/>
      </c>
    </row>
    <row r="42" spans="1:11" hidden="1" x14ac:dyDescent="0.25">
      <c r="A42" s="3">
        <f t="shared" si="2"/>
        <v>38</v>
      </c>
      <c r="B42" s="239" t="s">
        <v>437</v>
      </c>
      <c r="C42" s="239" t="s">
        <v>434</v>
      </c>
      <c r="D42" s="28">
        <v>1</v>
      </c>
      <c r="E42" s="4">
        <v>0</v>
      </c>
      <c r="F42" s="4">
        <f>E42*D42</f>
        <v>0</v>
      </c>
      <c r="G42" s="4" t="str">
        <f t="shared" si="0"/>
        <v/>
      </c>
    </row>
    <row r="43" spans="1:11" hidden="1" x14ac:dyDescent="0.25">
      <c r="A43" s="3">
        <f t="shared" si="2"/>
        <v>39</v>
      </c>
      <c r="B43" s="3" t="s">
        <v>139</v>
      </c>
      <c r="C43" s="240" t="s">
        <v>137</v>
      </c>
      <c r="D43" s="28">
        <v>1</v>
      </c>
      <c r="E43" s="57">
        <f>E32</f>
        <v>149656650</v>
      </c>
      <c r="F43" s="4">
        <f>E43*D43</f>
        <v>149656650</v>
      </c>
    </row>
    <row r="44" spans="1:11" hidden="1" x14ac:dyDescent="0.25">
      <c r="A44" s="3">
        <f t="shared" si="2"/>
        <v>40</v>
      </c>
      <c r="B44" s="239" t="s">
        <v>438</v>
      </c>
      <c r="C44" s="108" t="s">
        <v>279</v>
      </c>
      <c r="D44" s="28">
        <v>1</v>
      </c>
      <c r="E44" s="287">
        <f>1480000000*18%*35%*40%</f>
        <v>37296000</v>
      </c>
      <c r="F44" s="4">
        <f>E44*D44</f>
        <v>37296000</v>
      </c>
    </row>
  </sheetData>
  <autoFilter ref="A4:I44" xr:uid="{00000000-0009-0000-0000-00000F000000}">
    <filterColumn colId="2">
      <filters>
        <filter val="PSAR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8"/>
  <sheetViews>
    <sheetView workbookViewId="0">
      <selection activeCell="D19" sqref="D19"/>
    </sheetView>
  </sheetViews>
  <sheetFormatPr defaultColWidth="11.28515625" defaultRowHeight="15" x14ac:dyDescent="0.25"/>
  <cols>
    <col min="1" max="1" width="8" style="12" bestFit="1" customWidth="1"/>
    <col min="2" max="2" width="27.42578125" style="12" customWidth="1"/>
    <col min="3" max="3" width="41.85546875" style="12" bestFit="1" customWidth="1"/>
    <col min="4" max="4" width="41.85546875" style="12" customWidth="1"/>
    <col min="5" max="5" width="17.42578125" style="12" bestFit="1" customWidth="1"/>
    <col min="6" max="6" width="20.7109375" style="12" bestFit="1" customWidth="1"/>
    <col min="7" max="7" width="20.7109375" style="12" customWidth="1"/>
    <col min="8" max="8" width="16.5703125" style="12" bestFit="1" customWidth="1"/>
    <col min="9" max="9" width="20.7109375" style="12" bestFit="1" customWidth="1"/>
    <col min="10" max="10" width="16.85546875" style="12" bestFit="1" customWidth="1"/>
    <col min="11" max="11" width="16.7109375" style="12" bestFit="1" customWidth="1"/>
    <col min="12" max="12" width="14.42578125" style="12" bestFit="1" customWidth="1"/>
    <col min="13" max="13" width="15.42578125" style="12" bestFit="1" customWidth="1"/>
    <col min="14" max="16" width="11.28515625" style="12"/>
    <col min="17" max="17" width="19.28515625" style="12" bestFit="1" customWidth="1"/>
    <col min="18" max="18" width="18.85546875" style="12" bestFit="1" customWidth="1"/>
    <col min="19" max="20" width="11.28515625" style="12"/>
    <col min="21" max="21" width="11.42578125" style="12" bestFit="1" customWidth="1"/>
    <col min="22" max="23" width="11.28515625" style="12"/>
    <col min="24" max="24" width="13.7109375" style="12" bestFit="1" customWidth="1"/>
    <col min="25" max="16384" width="11.28515625" style="12"/>
  </cols>
  <sheetData>
    <row r="1" spans="1:21" x14ac:dyDescent="0.25">
      <c r="A1" s="30" t="s">
        <v>41</v>
      </c>
      <c r="B1" s="30"/>
      <c r="C1" s="30"/>
      <c r="D1" s="30"/>
      <c r="E1" s="30"/>
      <c r="F1" s="30"/>
      <c r="G1" s="30"/>
      <c r="J1" s="30" t="s">
        <v>59</v>
      </c>
      <c r="K1" s="30"/>
      <c r="L1" s="30"/>
      <c r="M1" s="30"/>
      <c r="P1" s="30" t="s">
        <v>60</v>
      </c>
      <c r="Q1" s="30"/>
      <c r="T1" s="76" t="s">
        <v>1</v>
      </c>
      <c r="U1" s="21" t="s">
        <v>283</v>
      </c>
    </row>
    <row r="2" spans="1:21" x14ac:dyDescent="0.25">
      <c r="T2" s="15">
        <v>1</v>
      </c>
      <c r="U2" s="120" t="s">
        <v>284</v>
      </c>
    </row>
    <row r="3" spans="1:21" x14ac:dyDescent="0.25">
      <c r="A3" s="31" t="s">
        <v>42</v>
      </c>
      <c r="B3" s="31" t="s">
        <v>3</v>
      </c>
      <c r="C3" s="31" t="s">
        <v>2</v>
      </c>
      <c r="D3" s="31" t="s">
        <v>76</v>
      </c>
      <c r="E3" s="31" t="s">
        <v>43</v>
      </c>
      <c r="F3" s="31" t="s">
        <v>296</v>
      </c>
      <c r="G3" s="31" t="s">
        <v>531</v>
      </c>
      <c r="J3" s="31" t="s">
        <v>42</v>
      </c>
      <c r="K3" s="31" t="s">
        <v>3</v>
      </c>
      <c r="L3" s="31" t="s">
        <v>2</v>
      </c>
      <c r="M3" s="31" t="s">
        <v>43</v>
      </c>
      <c r="P3" s="31" t="s">
        <v>2</v>
      </c>
      <c r="Q3" s="31" t="s">
        <v>43</v>
      </c>
      <c r="T3" s="15">
        <v>2</v>
      </c>
      <c r="U3" s="120" t="s">
        <v>285</v>
      </c>
    </row>
    <row r="4" spans="1:21" x14ac:dyDescent="0.25">
      <c r="A4" s="15">
        <v>1</v>
      </c>
      <c r="B4" s="12" t="s">
        <v>65</v>
      </c>
      <c r="C4" s="12" t="s">
        <v>44</v>
      </c>
      <c r="D4" s="12" t="s">
        <v>6</v>
      </c>
      <c r="E4" s="17">
        <v>15368350</v>
      </c>
      <c r="F4" s="17" t="s">
        <v>5</v>
      </c>
      <c r="G4" s="17"/>
      <c r="H4" s="200"/>
      <c r="J4" s="12">
        <v>1</v>
      </c>
      <c r="K4" s="128" t="s">
        <v>306</v>
      </c>
      <c r="L4" s="103" t="s">
        <v>273</v>
      </c>
      <c r="M4" s="32">
        <f>E8</f>
        <v>0</v>
      </c>
      <c r="P4" s="12" t="s">
        <v>61</v>
      </c>
      <c r="Q4" s="18">
        <f>SUM(E4:E108)</f>
        <v>898872543.95014167</v>
      </c>
      <c r="T4" s="15">
        <v>3</v>
      </c>
      <c r="U4" s="120" t="s">
        <v>286</v>
      </c>
    </row>
    <row r="5" spans="1:21" x14ac:dyDescent="0.25">
      <c r="A5" s="15">
        <f>A4+1</f>
        <v>2</v>
      </c>
      <c r="B5" s="12" t="s">
        <v>65</v>
      </c>
      <c r="C5" s="128" t="s">
        <v>302</v>
      </c>
      <c r="D5" s="12" t="s">
        <v>6</v>
      </c>
      <c r="E5" s="17">
        <v>40685877</v>
      </c>
      <c r="F5" s="17" t="s">
        <v>5</v>
      </c>
      <c r="G5" s="17"/>
      <c r="J5" s="12">
        <f>J4+1</f>
        <v>2</v>
      </c>
      <c r="K5" s="128" t="s">
        <v>306</v>
      </c>
      <c r="L5" s="12" t="s">
        <v>141</v>
      </c>
      <c r="M5" s="122">
        <f>E9</f>
        <v>0</v>
      </c>
      <c r="P5" s="12" t="s">
        <v>62</v>
      </c>
      <c r="Q5" s="18">
        <f>SUM(M4:M108)</f>
        <v>67500000</v>
      </c>
      <c r="T5" s="15">
        <v>4</v>
      </c>
      <c r="U5" s="120" t="s">
        <v>287</v>
      </c>
    </row>
    <row r="6" spans="1:21" ht="15.75" thickBot="1" x14ac:dyDescent="0.3">
      <c r="A6" s="15">
        <f t="shared" ref="A6:A7" si="0">A5+1</f>
        <v>3</v>
      </c>
      <c r="C6" s="238"/>
      <c r="E6" s="17"/>
      <c r="F6" s="17"/>
      <c r="G6" s="17"/>
      <c r="J6" s="12">
        <f>J5+1</f>
        <v>3</v>
      </c>
      <c r="K6" s="128" t="s">
        <v>306</v>
      </c>
      <c r="L6" s="120" t="s">
        <v>281</v>
      </c>
      <c r="M6" s="122">
        <v>65000000</v>
      </c>
      <c r="P6" s="19" t="s">
        <v>63</v>
      </c>
      <c r="Q6" s="20">
        <f>Q4-Q5</f>
        <v>831372543.95014167</v>
      </c>
      <c r="T6" s="77">
        <v>5</v>
      </c>
      <c r="U6" s="120" t="s">
        <v>288</v>
      </c>
    </row>
    <row r="7" spans="1:21" ht="15.75" thickTop="1" x14ac:dyDescent="0.25">
      <c r="A7" s="15">
        <f t="shared" si="0"/>
        <v>4</v>
      </c>
      <c r="B7" s="12" t="s">
        <v>65</v>
      </c>
      <c r="C7" s="12" t="s">
        <v>47</v>
      </c>
      <c r="D7" s="12" t="s">
        <v>16</v>
      </c>
      <c r="E7" s="17">
        <v>3000000</v>
      </c>
      <c r="F7" s="17" t="s">
        <v>5</v>
      </c>
      <c r="G7" s="17"/>
      <c r="J7" s="12">
        <f>J6+1</f>
        <v>4</v>
      </c>
      <c r="K7" s="128" t="s">
        <v>306</v>
      </c>
      <c r="L7" s="255" t="s">
        <v>432</v>
      </c>
      <c r="M7" s="32">
        <v>2500000</v>
      </c>
      <c r="Q7" s="93">
        <f>Q6*2</f>
        <v>1662745087.9002833</v>
      </c>
      <c r="T7" s="15">
        <v>6</v>
      </c>
      <c r="U7" s="120" t="s">
        <v>289</v>
      </c>
    </row>
    <row r="8" spans="1:21" x14ac:dyDescent="0.25">
      <c r="A8" s="15">
        <f t="shared" ref="A8:A45" si="1">A7+1</f>
        <v>5</v>
      </c>
      <c r="E8" s="17"/>
      <c r="F8" s="17"/>
      <c r="G8" s="17"/>
      <c r="H8" s="17"/>
      <c r="I8" s="249"/>
      <c r="L8" s="21"/>
      <c r="M8" s="22"/>
      <c r="Q8" s="93"/>
      <c r="T8" s="15">
        <v>7</v>
      </c>
      <c r="U8" s="120" t="s">
        <v>290</v>
      </c>
    </row>
    <row r="9" spans="1:21" x14ac:dyDescent="0.25">
      <c r="A9" s="15">
        <f t="shared" si="1"/>
        <v>6</v>
      </c>
      <c r="E9" s="17"/>
      <c r="F9" s="17"/>
      <c r="G9" s="17"/>
      <c r="H9" s="17"/>
      <c r="I9" s="249"/>
      <c r="T9" s="15">
        <v>8</v>
      </c>
      <c r="U9" s="120" t="s">
        <v>291</v>
      </c>
    </row>
    <row r="10" spans="1:21" x14ac:dyDescent="0.25">
      <c r="A10" s="15">
        <f t="shared" si="1"/>
        <v>7</v>
      </c>
      <c r="B10" s="12" t="s">
        <v>66</v>
      </c>
      <c r="C10" s="316" t="s">
        <v>140</v>
      </c>
      <c r="D10" s="12" t="s">
        <v>16</v>
      </c>
      <c r="E10" s="17">
        <v>31500000</v>
      </c>
      <c r="F10" s="17" t="s">
        <v>297</v>
      </c>
      <c r="G10" s="17"/>
      <c r="H10" s="235"/>
      <c r="I10" s="17"/>
      <c r="K10" s="81"/>
      <c r="T10" s="15">
        <v>9</v>
      </c>
      <c r="U10" s="120" t="s">
        <v>292</v>
      </c>
    </row>
    <row r="11" spans="1:21" x14ac:dyDescent="0.25">
      <c r="A11" s="15">
        <f t="shared" si="1"/>
        <v>8</v>
      </c>
      <c r="B11" s="12" t="s">
        <v>66</v>
      </c>
      <c r="C11" s="318" t="s">
        <v>431</v>
      </c>
      <c r="D11" s="12" t="s">
        <v>16</v>
      </c>
      <c r="E11" s="17">
        <v>34884401</v>
      </c>
      <c r="F11" s="17" t="s">
        <v>5</v>
      </c>
      <c r="G11" s="17"/>
      <c r="H11" s="17"/>
      <c r="I11" s="17"/>
      <c r="K11" s="18"/>
      <c r="T11" s="15">
        <v>10</v>
      </c>
      <c r="U11" s="120" t="s">
        <v>293</v>
      </c>
    </row>
    <row r="12" spans="1:21" x14ac:dyDescent="0.25">
      <c r="A12" s="15">
        <f t="shared" si="1"/>
        <v>9</v>
      </c>
      <c r="B12" s="12" t="s">
        <v>65</v>
      </c>
      <c r="C12" s="12" t="s">
        <v>51</v>
      </c>
      <c r="D12" s="12" t="s">
        <v>6</v>
      </c>
      <c r="E12" s="17">
        <v>6092676</v>
      </c>
      <c r="F12" s="17" t="s">
        <v>5</v>
      </c>
      <c r="G12" s="17"/>
      <c r="K12" s="18"/>
      <c r="T12" s="15">
        <v>11</v>
      </c>
      <c r="U12" s="120" t="s">
        <v>294</v>
      </c>
    </row>
    <row r="13" spans="1:21" x14ac:dyDescent="0.25">
      <c r="A13" s="15">
        <f t="shared" si="1"/>
        <v>10</v>
      </c>
      <c r="B13" s="12" t="s">
        <v>65</v>
      </c>
      <c r="C13" s="234" t="s">
        <v>77</v>
      </c>
      <c r="D13" s="12" t="s">
        <v>16</v>
      </c>
      <c r="E13" s="17">
        <v>5881036</v>
      </c>
      <c r="F13" s="17" t="s">
        <v>5</v>
      </c>
      <c r="G13" s="17"/>
      <c r="H13" s="120"/>
      <c r="T13" s="15">
        <v>12</v>
      </c>
      <c r="U13" s="120" t="s">
        <v>295</v>
      </c>
    </row>
    <row r="14" spans="1:21" x14ac:dyDescent="0.25">
      <c r="A14" s="15">
        <f t="shared" si="1"/>
        <v>11</v>
      </c>
      <c r="B14" s="130" t="s">
        <v>67</v>
      </c>
      <c r="C14" s="12" t="s">
        <v>52</v>
      </c>
      <c r="D14" s="12" t="s">
        <v>78</v>
      </c>
      <c r="E14" s="17">
        <v>1550293</v>
      </c>
      <c r="F14" s="17" t="s">
        <v>5</v>
      </c>
      <c r="G14" s="17"/>
      <c r="I14" s="255"/>
      <c r="T14" s="15">
        <v>13</v>
      </c>
      <c r="U14" s="130" t="s">
        <v>317</v>
      </c>
    </row>
    <row r="15" spans="1:21" x14ac:dyDescent="0.25">
      <c r="A15" s="15">
        <f t="shared" si="1"/>
        <v>12</v>
      </c>
      <c r="B15" s="130" t="s">
        <v>67</v>
      </c>
      <c r="C15" s="234" t="s">
        <v>53</v>
      </c>
      <c r="D15" s="12" t="s">
        <v>78</v>
      </c>
      <c r="E15" s="17">
        <v>4287189</v>
      </c>
      <c r="F15" s="17" t="s">
        <v>297</v>
      </c>
      <c r="G15" s="17"/>
      <c r="H15" s="124"/>
      <c r="I15" s="32"/>
      <c r="R15" s="82"/>
      <c r="T15" s="15">
        <v>14</v>
      </c>
      <c r="U15" s="130" t="s">
        <v>318</v>
      </c>
    </row>
    <row r="16" spans="1:21" x14ac:dyDescent="0.25">
      <c r="A16" s="15">
        <f t="shared" si="1"/>
        <v>13</v>
      </c>
      <c r="B16" s="12" t="s">
        <v>65</v>
      </c>
      <c r="C16" s="314" t="s">
        <v>138</v>
      </c>
      <c r="D16" s="12" t="s">
        <v>16</v>
      </c>
      <c r="E16" s="17">
        <f>2500000+16585388+(21512053-2800000)*60%</f>
        <v>30312619.799999997</v>
      </c>
      <c r="F16" s="17" t="s">
        <v>5</v>
      </c>
      <c r="G16" s="17"/>
      <c r="H16" s="253"/>
      <c r="I16" s="32"/>
      <c r="J16" s="32"/>
    </row>
    <row r="17" spans="1:17" x14ac:dyDescent="0.25">
      <c r="A17" s="15">
        <f t="shared" si="1"/>
        <v>14</v>
      </c>
      <c r="B17" s="12" t="s">
        <v>65</v>
      </c>
      <c r="C17" s="12" t="s">
        <v>55</v>
      </c>
      <c r="D17" s="12" t="s">
        <v>16</v>
      </c>
      <c r="E17" s="17">
        <v>0</v>
      </c>
      <c r="F17" s="17" t="s">
        <v>5</v>
      </c>
      <c r="G17" s="17"/>
      <c r="I17" s="201"/>
      <c r="J17" s="105"/>
    </row>
    <row r="18" spans="1:17" x14ac:dyDescent="0.25">
      <c r="A18" s="15">
        <f t="shared" si="1"/>
        <v>15</v>
      </c>
      <c r="B18" s="130" t="s">
        <v>67</v>
      </c>
      <c r="C18" s="12" t="s">
        <v>67</v>
      </c>
      <c r="D18" s="12" t="s">
        <v>16</v>
      </c>
      <c r="E18" s="17">
        <f>10000000+3150000+10350000</f>
        <v>23500000</v>
      </c>
      <c r="F18" s="17" t="s">
        <v>5</v>
      </c>
      <c r="G18" s="17"/>
      <c r="H18" s="124"/>
      <c r="J18" s="32"/>
    </row>
    <row r="19" spans="1:17" x14ac:dyDescent="0.25">
      <c r="A19" s="15">
        <f t="shared" si="1"/>
        <v>16</v>
      </c>
      <c r="B19" s="130" t="s">
        <v>308</v>
      </c>
      <c r="C19" s="316" t="s">
        <v>68</v>
      </c>
      <c r="D19" s="12" t="s">
        <v>6</v>
      </c>
      <c r="E19" s="282">
        <f>SUMIFS('Equity Holdings'!$K$9:$K$126,'Equity Holdings'!$B$9:$B$126,"Personal Stock Holdings Zerodha",'Equity Holdings'!$G$9:$G$126,"Equity")+SUMIFS('Equity Holdings'!$K$9:$K$126,'Equity Holdings'!$B$9:$B$126,"Personal Stock Holdings Zerodha",'Equity Holdings'!$G$9:$G$126,"Gold")</f>
        <v>86524103.85014157</v>
      </c>
      <c r="F19" s="17" t="s">
        <v>5</v>
      </c>
      <c r="G19" s="17"/>
      <c r="J19" s="32"/>
    </row>
    <row r="20" spans="1:17" x14ac:dyDescent="0.25">
      <c r="A20" s="15">
        <f t="shared" si="1"/>
        <v>17</v>
      </c>
      <c r="B20" s="130" t="s">
        <v>308</v>
      </c>
      <c r="C20" s="316" t="s">
        <v>123</v>
      </c>
      <c r="D20" s="12" t="s">
        <v>6</v>
      </c>
      <c r="E20" s="282">
        <f>SUMIFS('Mutual Funds'!$L$24:$L$73,'Mutual Funds'!$G$24:$G$73,"Equity",'Mutual Funds'!$I$24:$I$73,"Personal Mutual Funds Zerodha")</f>
        <v>0</v>
      </c>
      <c r="F20" s="17" t="s">
        <v>5</v>
      </c>
      <c r="G20" s="17"/>
      <c r="J20" s="32"/>
      <c r="K20" s="201"/>
    </row>
    <row r="21" spans="1:17" x14ac:dyDescent="0.25">
      <c r="A21" s="15">
        <f t="shared" si="1"/>
        <v>18</v>
      </c>
      <c r="B21" s="130" t="s">
        <v>308</v>
      </c>
      <c r="C21" s="316" t="s">
        <v>69</v>
      </c>
      <c r="D21" s="12" t="s">
        <v>78</v>
      </c>
      <c r="E21" s="17">
        <v>14852</v>
      </c>
      <c r="F21" s="17" t="s">
        <v>5</v>
      </c>
      <c r="G21" s="17"/>
      <c r="H21" s="103"/>
      <c r="I21" s="32"/>
    </row>
    <row r="22" spans="1:17" x14ac:dyDescent="0.25">
      <c r="A22" s="15">
        <f t="shared" si="1"/>
        <v>19</v>
      </c>
      <c r="B22" s="130" t="s">
        <v>308</v>
      </c>
      <c r="C22" s="317" t="s">
        <v>270</v>
      </c>
      <c r="D22" s="103" t="s">
        <v>16</v>
      </c>
      <c r="E22" s="282">
        <f>SUMIFS('Mutual Funds'!$L$24:$L$73,'Mutual Funds'!$G$24:$G$73,"Debt",'Mutual Funds'!$I$24:$I$73,"Personal Mutual Funds Zerodha")</f>
        <v>0</v>
      </c>
      <c r="F22" s="17" t="s">
        <v>5</v>
      </c>
      <c r="G22" s="17"/>
      <c r="H22" s="271"/>
    </row>
    <row r="23" spans="1:17" x14ac:dyDescent="0.25">
      <c r="A23" s="15"/>
      <c r="B23" s="130"/>
      <c r="C23" s="316"/>
      <c r="D23" s="109"/>
      <c r="E23" s="282"/>
      <c r="F23" s="17"/>
      <c r="G23" s="17"/>
    </row>
    <row r="24" spans="1:17" x14ac:dyDescent="0.25">
      <c r="A24" s="15">
        <f t="shared" si="1"/>
        <v>1</v>
      </c>
      <c r="B24" s="130" t="s">
        <v>308</v>
      </c>
      <c r="C24" s="316" t="s">
        <v>70</v>
      </c>
      <c r="D24" s="12" t="s">
        <v>6</v>
      </c>
      <c r="E24" s="282">
        <f>24489025.54-E27</f>
        <v>24489025.539999999</v>
      </c>
      <c r="F24" s="17" t="s">
        <v>297</v>
      </c>
      <c r="G24" s="17"/>
      <c r="I24" s="18">
        <f>SUMIFS('Equity Holdings'!$K$9:$K$126,'Equity Holdings'!$B$9:$B$126,"Stock Holdings",'Equity Holdings'!$G$9:$G$126,"Equity")+SUMIFS('Equity Holdings'!$K$9:$K$126,'Equity Holdings'!$B$9:$B$126,"Stock Holdings",'Equity Holdings'!$G$9:$G$126,"Gold")</f>
        <v>2663212</v>
      </c>
      <c r="P24" s="24" t="s">
        <v>56</v>
      </c>
      <c r="Q24" s="25"/>
    </row>
    <row r="25" spans="1:17" x14ac:dyDescent="0.25">
      <c r="A25" s="15">
        <f t="shared" si="1"/>
        <v>2</v>
      </c>
      <c r="B25" s="130" t="s">
        <v>308</v>
      </c>
      <c r="C25" s="316" t="s">
        <v>71</v>
      </c>
      <c r="D25" s="12" t="s">
        <v>6</v>
      </c>
      <c r="E25" s="282">
        <f>299945688.54-E26</f>
        <v>299945688.54000002</v>
      </c>
      <c r="F25" s="17" t="s">
        <v>297</v>
      </c>
      <c r="G25" s="17"/>
      <c r="I25" s="32">
        <f>SUMIFS('Mutual Funds'!$L$24:$L$73,'Mutual Funds'!$G$24:$G$73,"Equity",'Mutual Funds'!$I$24:$I$73,"Mutual Funds")</f>
        <v>0</v>
      </c>
      <c r="J25" s="75"/>
      <c r="P25" s="26" t="s">
        <v>57</v>
      </c>
      <c r="Q25" s="25"/>
    </row>
    <row r="26" spans="1:17" x14ac:dyDescent="0.25">
      <c r="A26" s="15">
        <f t="shared" si="1"/>
        <v>3</v>
      </c>
      <c r="B26" s="130" t="s">
        <v>308</v>
      </c>
      <c r="C26" s="316" t="s">
        <v>72</v>
      </c>
      <c r="D26" s="12" t="s">
        <v>16</v>
      </c>
      <c r="E26" s="282">
        <f>SUMIFS('Mutual Funds'!$L$24:$L$73,'Mutual Funds'!$G$24:$G$73,"Debt",'Mutual Funds'!$I$24:$I$73,"Mutual Funds")</f>
        <v>0</v>
      </c>
      <c r="F26" s="17" t="s">
        <v>297</v>
      </c>
      <c r="G26" s="17"/>
      <c r="I26" s="32">
        <f>SUMIFS('Mutual Funds'!$L$24:$L$73,'Mutual Funds'!$G$24:$G$73,"Debt",'Mutual Funds'!$I$24:$I$73,"Mutual Funds")</f>
        <v>0</v>
      </c>
      <c r="J26" s="32"/>
      <c r="P26" s="26" t="s">
        <v>58</v>
      </c>
      <c r="Q26" s="25">
        <v>80000000</v>
      </c>
    </row>
    <row r="27" spans="1:17" x14ac:dyDescent="0.25">
      <c r="A27" s="15">
        <f t="shared" si="1"/>
        <v>4</v>
      </c>
      <c r="B27" s="130" t="s">
        <v>308</v>
      </c>
      <c r="C27" s="316" t="s">
        <v>73</v>
      </c>
      <c r="D27" s="12" t="s">
        <v>16</v>
      </c>
      <c r="E27" s="282">
        <f>SUMIFS('Equity Holdings'!$K$11:$K$82,'Equity Holdings'!$G$11:$G$82,"Debt",'Equity Holdings'!$B$11:$B$82,"Stock Holdings")</f>
        <v>0</v>
      </c>
      <c r="F27" s="17" t="s">
        <v>297</v>
      </c>
      <c r="G27" s="17"/>
      <c r="I27" s="32">
        <f>SUMIFS('Equity Holdings'!$K$11:$K$82,'Equity Holdings'!$G$11:$G$82,"Debt",'Equity Holdings'!$B$11:$B$82,"Stock Holdings")</f>
        <v>0</v>
      </c>
      <c r="P27" s="26"/>
      <c r="Q27" s="25"/>
    </row>
    <row r="28" spans="1:17" x14ac:dyDescent="0.25">
      <c r="A28" s="15">
        <f t="shared" si="1"/>
        <v>5</v>
      </c>
      <c r="B28" s="130" t="s">
        <v>308</v>
      </c>
      <c r="C28" s="316" t="s">
        <v>74</v>
      </c>
      <c r="D28" s="12" t="s">
        <v>78</v>
      </c>
      <c r="E28" s="17">
        <f>157795980-6252411</f>
        <v>151543569</v>
      </c>
      <c r="F28" s="17" t="s">
        <v>297</v>
      </c>
      <c r="G28" s="17"/>
      <c r="I28" s="303">
        <f>185416310.27-127623</f>
        <v>185288687.27000001</v>
      </c>
      <c r="P28" s="26"/>
      <c r="Q28" s="25">
        <f>E27+Q25+Q26</f>
        <v>80000000</v>
      </c>
    </row>
    <row r="29" spans="1:17" x14ac:dyDescent="0.25">
      <c r="A29" s="15"/>
      <c r="B29" s="130"/>
      <c r="D29" s="109"/>
      <c r="E29" s="282"/>
      <c r="F29" s="17"/>
      <c r="G29" s="17"/>
      <c r="P29" s="26"/>
      <c r="Q29" s="25"/>
    </row>
    <row r="30" spans="1:17" x14ac:dyDescent="0.25">
      <c r="A30" s="15">
        <f t="shared" si="1"/>
        <v>1</v>
      </c>
      <c r="B30" s="12" t="s">
        <v>66</v>
      </c>
      <c r="C30" s="320" t="s">
        <v>435</v>
      </c>
      <c r="D30" s="12" t="s">
        <v>16</v>
      </c>
      <c r="E30" s="17">
        <v>10200000</v>
      </c>
      <c r="F30" s="17" t="s">
        <v>5</v>
      </c>
      <c r="G30" s="17"/>
      <c r="H30" s="268"/>
      <c r="I30" s="124"/>
    </row>
    <row r="31" spans="1:17" x14ac:dyDescent="0.25">
      <c r="A31" s="15">
        <f t="shared" si="1"/>
        <v>2</v>
      </c>
      <c r="B31" s="12" t="s">
        <v>66</v>
      </c>
      <c r="C31" s="320" t="s">
        <v>436</v>
      </c>
      <c r="D31" s="12" t="s">
        <v>16</v>
      </c>
      <c r="E31" s="17">
        <v>34479751</v>
      </c>
      <c r="F31" s="17" t="s">
        <v>5</v>
      </c>
      <c r="G31" s="17"/>
      <c r="H31" s="124"/>
      <c r="I31" s="124"/>
    </row>
    <row r="32" spans="1:17" x14ac:dyDescent="0.25">
      <c r="A32" s="15">
        <f t="shared" si="1"/>
        <v>3</v>
      </c>
      <c r="C32" s="70"/>
      <c r="E32" s="17"/>
      <c r="F32" s="17"/>
      <c r="G32" s="17"/>
      <c r="H32" s="245"/>
      <c r="J32" s="253"/>
    </row>
    <row r="33" spans="1:12" x14ac:dyDescent="0.25">
      <c r="A33" s="15">
        <f t="shared" si="1"/>
        <v>4</v>
      </c>
      <c r="B33" s="12" t="s">
        <v>66</v>
      </c>
      <c r="C33" s="320" t="s">
        <v>441</v>
      </c>
      <c r="D33" s="95" t="s">
        <v>16</v>
      </c>
      <c r="E33" s="17">
        <v>2625000</v>
      </c>
      <c r="F33" s="17" t="s">
        <v>5</v>
      </c>
      <c r="G33" s="17"/>
      <c r="I33" s="120"/>
      <c r="J33" s="123"/>
    </row>
    <row r="34" spans="1:12" x14ac:dyDescent="0.25">
      <c r="A34" s="15">
        <f t="shared" si="1"/>
        <v>5</v>
      </c>
      <c r="B34" s="12" t="s">
        <v>66</v>
      </c>
      <c r="C34" s="321" t="s">
        <v>259</v>
      </c>
      <c r="D34" s="95" t="s">
        <v>16</v>
      </c>
      <c r="E34" s="17">
        <f>3780911-929588+(33958675-1108325-6756000)*30%*35%</f>
        <v>5591229.75</v>
      </c>
      <c r="F34" s="17" t="s">
        <v>5</v>
      </c>
      <c r="G34" s="17"/>
      <c r="H34" s="271"/>
      <c r="J34" s="120"/>
    </row>
    <row r="35" spans="1:12" x14ac:dyDescent="0.25">
      <c r="A35" s="15">
        <f t="shared" si="1"/>
        <v>6</v>
      </c>
      <c r="B35" s="12" t="s">
        <v>66</v>
      </c>
      <c r="C35" s="322" t="s">
        <v>276</v>
      </c>
      <c r="D35" s="95" t="s">
        <v>16</v>
      </c>
      <c r="E35" s="17">
        <f>746770.22+1108983.82+3253254+(186766)*30%*35%</f>
        <v>5128618.47</v>
      </c>
      <c r="F35" s="17" t="s">
        <v>5</v>
      </c>
      <c r="G35" s="17"/>
    </row>
    <row r="36" spans="1:12" x14ac:dyDescent="0.25">
      <c r="A36" s="15">
        <f t="shared" si="1"/>
        <v>7</v>
      </c>
      <c r="B36" s="130" t="s">
        <v>67</v>
      </c>
      <c r="C36" s="118" t="s">
        <v>281</v>
      </c>
      <c r="D36" s="95" t="s">
        <v>16</v>
      </c>
      <c r="E36" s="17">
        <v>48398458</v>
      </c>
      <c r="F36" s="17" t="s">
        <v>5</v>
      </c>
      <c r="G36" s="17"/>
      <c r="H36" s="119"/>
    </row>
    <row r="37" spans="1:12" x14ac:dyDescent="0.25">
      <c r="A37" s="15">
        <f t="shared" si="1"/>
        <v>8</v>
      </c>
      <c r="B37" s="12" t="s">
        <v>66</v>
      </c>
      <c r="C37" s="319" t="s">
        <v>307</v>
      </c>
      <c r="D37" s="95" t="s">
        <v>16</v>
      </c>
      <c r="E37" s="283">
        <v>0</v>
      </c>
      <c r="F37" s="17" t="s">
        <v>141</v>
      </c>
      <c r="G37" s="17"/>
      <c r="I37" s="266" t="s">
        <v>490</v>
      </c>
    </row>
    <row r="38" spans="1:12" x14ac:dyDescent="0.25">
      <c r="A38" s="15">
        <f t="shared" si="1"/>
        <v>9</v>
      </c>
      <c r="B38" s="130" t="s">
        <v>67</v>
      </c>
      <c r="C38" s="238" t="s">
        <v>439</v>
      </c>
      <c r="D38" s="95" t="s">
        <v>16</v>
      </c>
      <c r="E38" s="17">
        <v>1000000</v>
      </c>
      <c r="F38" s="17" t="s">
        <v>297</v>
      </c>
      <c r="G38" s="17"/>
    </row>
    <row r="39" spans="1:12" x14ac:dyDescent="0.25">
      <c r="A39" s="15">
        <f t="shared" si="1"/>
        <v>10</v>
      </c>
      <c r="B39" s="12" t="s">
        <v>66</v>
      </c>
      <c r="C39" s="320" t="s">
        <v>440</v>
      </c>
      <c r="D39" s="95" t="s">
        <v>16</v>
      </c>
      <c r="E39" s="17">
        <v>15169806</v>
      </c>
      <c r="F39" s="17" t="s">
        <v>5</v>
      </c>
      <c r="G39" s="17"/>
      <c r="J39" s="200"/>
      <c r="K39" s="200"/>
      <c r="L39" s="200"/>
    </row>
    <row r="40" spans="1:12" x14ac:dyDescent="0.25">
      <c r="A40" s="15">
        <f t="shared" si="1"/>
        <v>11</v>
      </c>
      <c r="B40" s="130" t="s">
        <v>67</v>
      </c>
      <c r="C40" s="238" t="s">
        <v>442</v>
      </c>
      <c r="D40" s="95" t="s">
        <v>16</v>
      </c>
      <c r="E40" s="284">
        <v>0</v>
      </c>
      <c r="F40" s="17" t="s">
        <v>5</v>
      </c>
      <c r="G40" s="17"/>
      <c r="I40" s="200"/>
      <c r="J40" s="200"/>
      <c r="K40" s="200"/>
      <c r="L40" s="200"/>
    </row>
    <row r="41" spans="1:12" x14ac:dyDescent="0.25">
      <c r="A41" s="15">
        <f t="shared" si="1"/>
        <v>12</v>
      </c>
      <c r="B41" s="130" t="s">
        <v>67</v>
      </c>
      <c r="C41" s="238" t="s">
        <v>443</v>
      </c>
      <c r="D41" s="95" t="s">
        <v>16</v>
      </c>
      <c r="E41" s="284">
        <v>700000</v>
      </c>
      <c r="F41" s="17" t="s">
        <v>5</v>
      </c>
      <c r="G41" s="17"/>
      <c r="I41" s="200"/>
      <c r="J41" s="200"/>
      <c r="K41" s="200"/>
      <c r="L41" s="200"/>
    </row>
    <row r="42" spans="1:12" x14ac:dyDescent="0.25">
      <c r="A42" s="15">
        <f t="shared" si="1"/>
        <v>13</v>
      </c>
      <c r="B42" s="12" t="s">
        <v>65</v>
      </c>
      <c r="C42" s="246" t="s">
        <v>448</v>
      </c>
      <c r="D42" s="246" t="s">
        <v>78</v>
      </c>
      <c r="E42" s="284">
        <v>0</v>
      </c>
      <c r="F42" s="17" t="s">
        <v>5</v>
      </c>
      <c r="G42" s="17"/>
      <c r="I42" s="200"/>
      <c r="J42" s="200"/>
      <c r="K42" s="200"/>
      <c r="L42" s="200"/>
    </row>
    <row r="43" spans="1:12" x14ac:dyDescent="0.25">
      <c r="A43" s="15">
        <f t="shared" si="1"/>
        <v>14</v>
      </c>
      <c r="B43" s="12" t="s">
        <v>65</v>
      </c>
      <c r="C43" s="246" t="s">
        <v>449</v>
      </c>
      <c r="D43" s="246" t="s">
        <v>6</v>
      </c>
      <c r="E43" s="284">
        <v>13500000</v>
      </c>
      <c r="F43" s="17" t="s">
        <v>5</v>
      </c>
      <c r="G43" s="17"/>
      <c r="I43" s="200"/>
      <c r="J43" s="200"/>
      <c r="K43" s="200"/>
      <c r="L43" s="200"/>
    </row>
    <row r="44" spans="1:12" x14ac:dyDescent="0.25">
      <c r="A44" s="15">
        <f t="shared" si="1"/>
        <v>15</v>
      </c>
      <c r="B44" s="253" t="s">
        <v>67</v>
      </c>
      <c r="C44" s="253" t="s">
        <v>471</v>
      </c>
      <c r="D44" s="253" t="s">
        <v>16</v>
      </c>
      <c r="E44" s="284">
        <v>2500000</v>
      </c>
      <c r="F44" s="17" t="s">
        <v>5</v>
      </c>
      <c r="G44" s="17"/>
      <c r="I44" s="200"/>
      <c r="J44" s="200"/>
      <c r="K44" s="200"/>
      <c r="L44" s="200"/>
    </row>
    <row r="45" spans="1:12" x14ac:dyDescent="0.25">
      <c r="A45" s="15">
        <f t="shared" si="1"/>
        <v>16</v>
      </c>
      <c r="I45" s="200"/>
      <c r="J45" s="200"/>
      <c r="L45" s="200"/>
    </row>
    <row r="46" spans="1:12" x14ac:dyDescent="0.25">
      <c r="I46" s="200"/>
      <c r="J46" s="200"/>
      <c r="L46" s="200"/>
    </row>
    <row r="47" spans="1:12" x14ac:dyDescent="0.25">
      <c r="E47" s="18"/>
      <c r="F47" s="18"/>
      <c r="G47" s="18"/>
    </row>
    <row r="55" spans="1:2" x14ac:dyDescent="0.25">
      <c r="A55" s="76"/>
      <c r="B55" s="21"/>
    </row>
    <row r="56" spans="1:2" x14ac:dyDescent="0.25">
      <c r="A56" s="15"/>
      <c r="B56" s="120"/>
    </row>
    <row r="57" spans="1:2" x14ac:dyDescent="0.25">
      <c r="A57" s="15"/>
      <c r="B57" s="120"/>
    </row>
    <row r="58" spans="1:2" x14ac:dyDescent="0.25">
      <c r="A58" s="15"/>
      <c r="B58" s="120"/>
    </row>
    <row r="59" spans="1:2" x14ac:dyDescent="0.25">
      <c r="A59" s="15"/>
      <c r="B59" s="120"/>
    </row>
    <row r="60" spans="1:2" x14ac:dyDescent="0.25">
      <c r="A60" s="77"/>
      <c r="B60" s="120"/>
    </row>
    <row r="61" spans="1:2" x14ac:dyDescent="0.25">
      <c r="A61" s="15"/>
      <c r="B61" s="120"/>
    </row>
    <row r="62" spans="1:2" x14ac:dyDescent="0.25">
      <c r="A62" s="15"/>
      <c r="B62" s="120"/>
    </row>
    <row r="63" spans="1:2" x14ac:dyDescent="0.25">
      <c r="A63" s="15"/>
      <c r="B63" s="120"/>
    </row>
    <row r="64" spans="1:2" x14ac:dyDescent="0.25">
      <c r="A64" s="15"/>
      <c r="B64" s="120"/>
    </row>
    <row r="65" spans="1:2" x14ac:dyDescent="0.25">
      <c r="A65" s="15"/>
      <c r="B65" s="120"/>
    </row>
    <row r="66" spans="1:2" x14ac:dyDescent="0.25">
      <c r="A66" s="15"/>
      <c r="B66" s="120"/>
    </row>
    <row r="67" spans="1:2" x14ac:dyDescent="0.25">
      <c r="A67" s="15"/>
      <c r="B67" s="120"/>
    </row>
    <row r="68" spans="1:2" x14ac:dyDescent="0.25">
      <c r="A68" s="15"/>
      <c r="B68" s="128"/>
    </row>
  </sheetData>
  <autoFilter ref="A3:G45" xr:uid="{00000000-0009-0000-0000-000010000000}"/>
  <pageMargins left="0.7" right="0.7" top="0.75" bottom="0.75" header="0.3" footer="0.3"/>
  <pageSetup paperSize="9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49"/>
  <sheetViews>
    <sheetView showGridLines="0" topLeftCell="F1" workbookViewId="0">
      <selection activeCell="B22" sqref="B22"/>
    </sheetView>
  </sheetViews>
  <sheetFormatPr defaultColWidth="9.140625" defaultRowHeight="15" x14ac:dyDescent="0.25"/>
  <cols>
    <col min="1" max="1" width="15.42578125" style="3" bestFit="1" customWidth="1"/>
    <col min="2" max="2" width="32.7109375" style="3" bestFit="1" customWidth="1"/>
    <col min="3" max="3" width="17.28515625" style="3" bestFit="1" customWidth="1"/>
    <col min="4" max="4" width="18.42578125" style="3" bestFit="1" customWidth="1"/>
    <col min="5" max="5" width="9.140625" style="3"/>
    <col min="6" max="6" width="6.85546875" style="3" bestFit="1" customWidth="1"/>
    <col min="7" max="7" width="30.42578125" style="3" bestFit="1" customWidth="1"/>
    <col min="8" max="8" width="8" style="3" bestFit="1" customWidth="1"/>
    <col min="9" max="9" width="13.28515625" style="3" bestFit="1" customWidth="1"/>
    <col min="10" max="11" width="9.140625" style="3"/>
    <col min="12" max="12" width="6.85546875" style="3" bestFit="1" customWidth="1"/>
    <col min="13" max="13" width="46.85546875" style="3" bestFit="1" customWidth="1"/>
    <col min="14" max="14" width="28.42578125" style="3" bestFit="1" customWidth="1"/>
    <col min="15" max="15" width="33.42578125" style="3" customWidth="1"/>
    <col min="16" max="16" width="23" style="3" bestFit="1" customWidth="1"/>
    <col min="17" max="17" width="18.7109375" style="3" bestFit="1" customWidth="1"/>
    <col min="18" max="18" width="18" style="3" bestFit="1" customWidth="1"/>
    <col min="19" max="19" width="9.28515625" style="3" bestFit="1" customWidth="1"/>
    <col min="20" max="20" width="16.7109375" style="3" bestFit="1" customWidth="1"/>
    <col min="21" max="21" width="14.28515625" style="3" bestFit="1" customWidth="1"/>
    <col min="22" max="16384" width="9.140625" style="3"/>
  </cols>
  <sheetData>
    <row r="1" spans="1:21" x14ac:dyDescent="0.25">
      <c r="A1" s="35" t="s">
        <v>149</v>
      </c>
      <c r="B1" s="35"/>
      <c r="C1" s="35"/>
      <c r="F1" s="35" t="s">
        <v>150</v>
      </c>
      <c r="G1" s="35"/>
      <c r="H1" s="35"/>
      <c r="L1" s="35" t="s">
        <v>151</v>
      </c>
      <c r="M1" s="35"/>
      <c r="N1" s="35"/>
      <c r="O1" s="35"/>
      <c r="P1" s="35"/>
      <c r="Q1" s="35"/>
      <c r="R1" s="35"/>
    </row>
    <row r="2" spans="1:21" x14ac:dyDescent="0.25">
      <c r="S2" s="36">
        <f>Q5/C22</f>
        <v>0.20808389132853558</v>
      </c>
    </row>
    <row r="3" spans="1:21" ht="17.25" x14ac:dyDescent="0.4">
      <c r="A3" s="37" t="s">
        <v>42</v>
      </c>
      <c r="B3" s="37" t="s">
        <v>2</v>
      </c>
      <c r="C3" s="37" t="s">
        <v>43</v>
      </c>
      <c r="F3" s="37" t="s">
        <v>42</v>
      </c>
      <c r="G3" s="37" t="s">
        <v>2</v>
      </c>
      <c r="H3" s="37" t="s">
        <v>152</v>
      </c>
      <c r="L3" s="37" t="s">
        <v>42</v>
      </c>
      <c r="M3" s="37" t="s">
        <v>153</v>
      </c>
      <c r="N3" s="37" t="s">
        <v>154</v>
      </c>
      <c r="O3" s="37" t="s">
        <v>155</v>
      </c>
      <c r="P3" s="37" t="s">
        <v>156</v>
      </c>
      <c r="Q3" s="37" t="s">
        <v>157</v>
      </c>
      <c r="R3" s="37" t="s">
        <v>158</v>
      </c>
    </row>
    <row r="4" spans="1:21" x14ac:dyDescent="0.25">
      <c r="A4" s="3">
        <v>1</v>
      </c>
      <c r="B4" s="3" t="str">
        <f>'Networth Inputs - old'!C4</f>
        <v>Sushila Nahar Equity MF</v>
      </c>
      <c r="C4" s="4">
        <f>'Networth Inputs - old'!E4</f>
        <v>15368350</v>
      </c>
      <c r="F4" s="38">
        <v>1</v>
      </c>
      <c r="G4" s="3" t="s">
        <v>159</v>
      </c>
      <c r="H4" s="39">
        <v>1.4999999999999999E-2</v>
      </c>
      <c r="L4" s="40"/>
      <c r="M4" s="41"/>
      <c r="N4" s="41"/>
      <c r="O4" s="41"/>
      <c r="P4" s="41"/>
      <c r="Q4" s="41"/>
      <c r="R4" s="41"/>
    </row>
    <row r="5" spans="1:21" x14ac:dyDescent="0.25">
      <c r="A5" s="3">
        <f t="shared" ref="A5:A21" si="0">A4+1</f>
        <v>2</v>
      </c>
      <c r="B5" s="3" t="str">
        <f>'Networth Inputs - old'!C5</f>
        <v>Yogita Agrawal PMS</v>
      </c>
      <c r="C5" s="4">
        <f>'Networth Inputs - old'!E5</f>
        <v>40685877</v>
      </c>
      <c r="F5" s="38">
        <f t="shared" ref="F5:F13" si="1">F4+1</f>
        <v>2</v>
      </c>
      <c r="G5" s="3" t="s">
        <v>160</v>
      </c>
      <c r="H5" s="273">
        <v>2.1</v>
      </c>
      <c r="L5" s="43">
        <v>1</v>
      </c>
      <c r="M5" s="44" t="s">
        <v>161</v>
      </c>
      <c r="N5" s="45">
        <f>159472858-0.94*P5</f>
        <v>159472858</v>
      </c>
      <c r="O5" s="45">
        <v>129260830</v>
      </c>
      <c r="P5" s="45">
        <f>VLOOKUP("Zerodha Broking Mishayan: Liquidbees/ Liquidcase",'Networth Inputs - old'!$C$4:$E$114,3,FALSE)</f>
        <v>0</v>
      </c>
      <c r="Q5" s="45">
        <f>VLOOKUP("Zerodha Broking Mishayan: Cash",'Networth Inputs - old'!$C$4:$E$114,3,FALSE)</f>
        <v>151543569</v>
      </c>
      <c r="R5" s="46">
        <f>SUM(N5:Q5)</f>
        <v>440277257</v>
      </c>
      <c r="S5" s="36"/>
      <c r="T5" s="3" t="s">
        <v>162</v>
      </c>
      <c r="U5" s="36">
        <f>Q5/C22</f>
        <v>0.20808389132853558</v>
      </c>
    </row>
    <row r="6" spans="1:21" x14ac:dyDescent="0.25">
      <c r="A6" s="3">
        <f t="shared" si="0"/>
        <v>3</v>
      </c>
      <c r="B6" s="3" t="str">
        <f>'Networth Inputs - old'!C38</f>
        <v>HDFC Bank FD</v>
      </c>
      <c r="C6" s="4">
        <f>'Networth Inputs - old'!E38</f>
        <v>1000000</v>
      </c>
      <c r="F6" s="38">
        <f t="shared" si="1"/>
        <v>3</v>
      </c>
      <c r="G6" s="3" t="s">
        <v>163</v>
      </c>
      <c r="H6" s="42">
        <v>8</v>
      </c>
      <c r="I6" s="42"/>
      <c r="L6" s="43">
        <f>L5+1</f>
        <v>2</v>
      </c>
      <c r="M6" s="44" t="s">
        <v>164</v>
      </c>
      <c r="N6" s="46">
        <f>SUM(N9:N16)</f>
        <v>120940021.7283311</v>
      </c>
      <c r="O6" s="46">
        <f t="shared" ref="O6:R6" si="2">SUM(O9:O16)</f>
        <v>120940021.7283311</v>
      </c>
      <c r="P6" s="46">
        <f t="shared" si="2"/>
        <v>12138018.632169029</v>
      </c>
      <c r="Q6" s="46">
        <f t="shared" si="2"/>
        <v>40542718.666382022</v>
      </c>
      <c r="R6" s="46">
        <f t="shared" si="2"/>
        <v>294560780.75521326</v>
      </c>
    </row>
    <row r="7" spans="1:21" x14ac:dyDescent="0.25">
      <c r="A7" s="3">
        <f t="shared" si="0"/>
        <v>4</v>
      </c>
      <c r="B7" s="285" t="str">
        <f>'Networth Inputs - old'!C7</f>
        <v>Loan to Vihaan</v>
      </c>
      <c r="C7" s="4">
        <f>'Networth Inputs - old'!E7</f>
        <v>3000000</v>
      </c>
      <c r="F7" s="38">
        <f t="shared" si="1"/>
        <v>4</v>
      </c>
      <c r="G7" s="3" t="s">
        <v>165</v>
      </c>
      <c r="H7" s="39">
        <f>5%*2/3</f>
        <v>3.3333333333333333E-2</v>
      </c>
      <c r="L7" s="43">
        <f>L6+1</f>
        <v>3</v>
      </c>
      <c r="M7" s="47" t="s">
        <v>166</v>
      </c>
      <c r="N7" s="48">
        <f>N5-N6</f>
        <v>38532836.271668896</v>
      </c>
      <c r="O7" s="48">
        <f t="shared" ref="O7:Q7" si="3">O5-O6</f>
        <v>8320808.2716688961</v>
      </c>
      <c r="P7" s="48">
        <f t="shared" si="3"/>
        <v>-12138018.632169029</v>
      </c>
      <c r="Q7" s="48">
        <f t="shared" si="3"/>
        <v>111000850.33361799</v>
      </c>
      <c r="R7" s="48">
        <f>SUM(N7:Q7)</f>
        <v>145716476.24478674</v>
      </c>
    </row>
    <row r="8" spans="1:21" x14ac:dyDescent="0.25">
      <c r="A8" s="3">
        <f t="shared" si="0"/>
        <v>5</v>
      </c>
      <c r="B8" s="74">
        <f>'Networth Inputs - old'!C8</f>
        <v>0</v>
      </c>
      <c r="C8" s="29">
        <v>0</v>
      </c>
      <c r="D8" s="29"/>
      <c r="F8" s="38">
        <f t="shared" si="1"/>
        <v>5</v>
      </c>
      <c r="G8" s="3" t="s">
        <v>167</v>
      </c>
      <c r="H8" s="39">
        <f>5%*1/3</f>
        <v>1.6666666666666666E-2</v>
      </c>
      <c r="L8" s="43"/>
      <c r="M8" s="44"/>
      <c r="N8" s="46"/>
      <c r="O8" s="46"/>
      <c r="P8" s="46"/>
      <c r="Q8" s="46"/>
      <c r="R8" s="46"/>
    </row>
    <row r="9" spans="1:21" x14ac:dyDescent="0.25">
      <c r="A9" s="3">
        <f t="shared" si="0"/>
        <v>6</v>
      </c>
      <c r="B9" s="74">
        <f>'Networth Inputs - old'!C9</f>
        <v>0</v>
      </c>
      <c r="C9" s="29">
        <v>0</v>
      </c>
      <c r="D9" s="29"/>
      <c r="F9" s="38">
        <f t="shared" si="1"/>
        <v>6</v>
      </c>
      <c r="G9" s="3" t="s">
        <v>168</v>
      </c>
      <c r="H9" s="39">
        <v>1.2999999999999999E-2</v>
      </c>
      <c r="L9" s="40">
        <v>1</v>
      </c>
      <c r="M9" s="41" t="s">
        <v>165</v>
      </c>
      <c r="N9" s="49"/>
      <c r="O9" s="49"/>
      <c r="P9" s="49"/>
      <c r="Q9" s="49">
        <f>H7*C22</f>
        <v>24276037.264338057</v>
      </c>
      <c r="R9" s="49">
        <f t="shared" ref="R9:R10" si="4">SUM(N9:Q9)</f>
        <v>24276037.264338057</v>
      </c>
      <c r="S9" s="5">
        <f>Q9/$C$22</f>
        <v>3.3333333333333333E-2</v>
      </c>
      <c r="T9" s="50"/>
    </row>
    <row r="10" spans="1:21" x14ac:dyDescent="0.25">
      <c r="A10" s="3">
        <f t="shared" si="0"/>
        <v>7</v>
      </c>
      <c r="B10" s="3" t="str">
        <f>'Networth Inputs - old'!C12</f>
        <v>PMS QFH Strategy</v>
      </c>
      <c r="C10" s="4">
        <f>'Networth Inputs - old'!E12</f>
        <v>6092676</v>
      </c>
      <c r="D10" s="65"/>
      <c r="F10" s="38">
        <f t="shared" si="1"/>
        <v>7</v>
      </c>
      <c r="G10" s="3" t="s">
        <v>169</v>
      </c>
      <c r="H10" s="42">
        <v>6</v>
      </c>
      <c r="I10" s="42"/>
      <c r="L10" s="43">
        <f>L9+1</f>
        <v>2</v>
      </c>
      <c r="M10" s="44" t="s">
        <v>167</v>
      </c>
      <c r="N10" s="46"/>
      <c r="O10" s="46"/>
      <c r="P10" s="46">
        <f>H8*C22</f>
        <v>12138018.632169029</v>
      </c>
      <c r="Q10" s="46"/>
      <c r="R10" s="46">
        <f t="shared" si="4"/>
        <v>12138018.632169029</v>
      </c>
      <c r="S10" s="5">
        <f>P10/$C$22</f>
        <v>1.6666666666666666E-2</v>
      </c>
      <c r="T10" s="36"/>
    </row>
    <row r="11" spans="1:21" x14ac:dyDescent="0.25">
      <c r="A11" s="3">
        <f t="shared" si="0"/>
        <v>8</v>
      </c>
      <c r="B11" s="3" t="str">
        <f>'Networth Inputs - old'!C14</f>
        <v>HDFC Bank RN</v>
      </c>
      <c r="C11" s="4">
        <f>'Networth Inputs - old'!E14</f>
        <v>1550293</v>
      </c>
      <c r="D11" s="65"/>
      <c r="F11" s="38">
        <f t="shared" si="1"/>
        <v>8</v>
      </c>
      <c r="G11" s="3" t="s">
        <v>170</v>
      </c>
      <c r="H11" s="51">
        <v>0</v>
      </c>
      <c r="L11" s="43"/>
      <c r="M11" s="44"/>
      <c r="N11" s="46"/>
      <c r="O11" s="46"/>
      <c r="P11" s="46"/>
      <c r="Q11" s="46"/>
      <c r="R11" s="46"/>
      <c r="T11" s="52"/>
    </row>
    <row r="12" spans="1:21" x14ac:dyDescent="0.25">
      <c r="A12" s="3">
        <f t="shared" si="0"/>
        <v>9</v>
      </c>
      <c r="B12" s="3" t="str">
        <f>'Networth Inputs - old'!C15</f>
        <v>HDFC Bank Mishayan</v>
      </c>
      <c r="C12" s="4">
        <f>'Networth Inputs - old'!E15</f>
        <v>4287189</v>
      </c>
      <c r="F12" s="38">
        <f t="shared" si="1"/>
        <v>9</v>
      </c>
      <c r="G12" s="102" t="s">
        <v>272</v>
      </c>
      <c r="H12" s="42">
        <v>0</v>
      </c>
      <c r="I12" s="3">
        <v>2.5</v>
      </c>
      <c r="L12" s="40">
        <v>1</v>
      </c>
      <c r="M12" s="41" t="s">
        <v>134</v>
      </c>
      <c r="N12" s="49"/>
      <c r="O12" s="49"/>
      <c r="P12" s="49"/>
      <c r="Q12" s="49">
        <f>H4*C22</f>
        <v>10924216.768952126</v>
      </c>
      <c r="R12" s="49">
        <f t="shared" ref="R12:R15" si="5">SUM(N12:Q12)</f>
        <v>10924216.768952126</v>
      </c>
      <c r="S12" s="5">
        <f>Q12/$C$22</f>
        <v>1.5000000000000001E-2</v>
      </c>
    </row>
    <row r="13" spans="1:21" x14ac:dyDescent="0.25">
      <c r="A13" s="3">
        <f t="shared" si="0"/>
        <v>10</v>
      </c>
      <c r="B13" s="3" t="str">
        <f>'Networth Inputs - old'!C17</f>
        <v>Interest Hand</v>
      </c>
      <c r="C13" s="244">
        <f>'Networth Inputs - old'!E17</f>
        <v>0</v>
      </c>
      <c r="F13" s="38">
        <f t="shared" si="1"/>
        <v>10</v>
      </c>
      <c r="H13" s="39"/>
      <c r="L13" s="43">
        <f>L12+1</f>
        <v>2</v>
      </c>
      <c r="M13" s="44" t="s">
        <v>136</v>
      </c>
      <c r="N13" s="46">
        <f>$C$22*$H$5/$H$6/2</f>
        <v>95586896.728331104</v>
      </c>
      <c r="O13" s="46">
        <f>$C$22*$H$5/$H$6/2</f>
        <v>95586896.728331104</v>
      </c>
      <c r="P13" s="46"/>
      <c r="Q13" s="46"/>
      <c r="R13" s="46">
        <f t="shared" si="5"/>
        <v>191173793.45666221</v>
      </c>
    </row>
    <row r="14" spans="1:21" x14ac:dyDescent="0.25">
      <c r="A14" s="3">
        <f t="shared" si="0"/>
        <v>11</v>
      </c>
      <c r="B14" s="3" t="str">
        <f>'Networth Inputs - old'!C18</f>
        <v>FD</v>
      </c>
      <c r="C14" s="244">
        <f>'Networth Inputs - old'!E18</f>
        <v>23500000</v>
      </c>
      <c r="F14" s="38"/>
      <c r="L14" s="43">
        <f>L13+1</f>
        <v>3</v>
      </c>
      <c r="M14" s="44" t="s">
        <v>171</v>
      </c>
      <c r="N14" s="46"/>
      <c r="O14" s="46"/>
      <c r="P14" s="46"/>
      <c r="Q14" s="46">
        <f>$H$9*A33</f>
        <v>5342464.63309184</v>
      </c>
      <c r="R14" s="46">
        <f t="shared" si="5"/>
        <v>5342464.63309184</v>
      </c>
      <c r="S14" s="5">
        <f>Q14/$C$22</f>
        <v>7.3357176254627279E-3</v>
      </c>
    </row>
    <row r="15" spans="1:21" x14ac:dyDescent="0.25">
      <c r="A15" s="3">
        <f t="shared" si="0"/>
        <v>12</v>
      </c>
      <c r="B15" s="74" t="s">
        <v>178</v>
      </c>
      <c r="C15" s="244">
        <f>SUM('Networth Inputs - old'!E19:E23)</f>
        <v>86538955.85014157</v>
      </c>
      <c r="L15" s="43">
        <f>L14+1</f>
        <v>4</v>
      </c>
      <c r="M15" s="44" t="s">
        <v>172</v>
      </c>
      <c r="N15" s="46">
        <f>$A$27/$H$10/2</f>
        <v>25353125</v>
      </c>
      <c r="O15" s="46">
        <f>$A$27/$H$10/2</f>
        <v>25353125</v>
      </c>
      <c r="P15" s="46"/>
      <c r="Q15" s="46">
        <f>H11*A27</f>
        <v>0</v>
      </c>
      <c r="R15" s="46">
        <f t="shared" si="5"/>
        <v>50706250</v>
      </c>
      <c r="S15" s="5">
        <f>Q15/$C$22</f>
        <v>0</v>
      </c>
    </row>
    <row r="16" spans="1:21" x14ac:dyDescent="0.25">
      <c r="A16" s="3">
        <f t="shared" si="0"/>
        <v>13</v>
      </c>
      <c r="B16" s="74" t="s">
        <v>179</v>
      </c>
      <c r="C16" s="4">
        <f>SUM('Networth Inputs - old'!E24:E29)</f>
        <v>475978283.08000004</v>
      </c>
      <c r="L16" s="53">
        <v>6</v>
      </c>
      <c r="M16" s="104" t="s">
        <v>271</v>
      </c>
      <c r="N16" s="54"/>
      <c r="O16" s="54"/>
      <c r="P16" s="54"/>
      <c r="Q16" s="54"/>
      <c r="R16" s="54"/>
      <c r="S16" s="5">
        <f>Q16/$C$22</f>
        <v>0</v>
      </c>
    </row>
    <row r="17" spans="1:21" x14ac:dyDescent="0.25">
      <c r="A17" s="3">
        <f t="shared" si="0"/>
        <v>14</v>
      </c>
      <c r="B17" s="3">
        <f>'Networth Inputs - old'!C32</f>
        <v>0</v>
      </c>
      <c r="C17" s="55">
        <f>'Networth Inputs - old'!E32</f>
        <v>0</v>
      </c>
      <c r="F17" s="3" t="s">
        <v>173</v>
      </c>
      <c r="G17" s="3" t="s">
        <v>174</v>
      </c>
    </row>
    <row r="18" spans="1:21" x14ac:dyDescent="0.25">
      <c r="A18" s="3">
        <f t="shared" si="0"/>
        <v>15</v>
      </c>
      <c r="B18" s="3" t="str">
        <f>'Networth Inputs - old'!C36</f>
        <v>ICICI Bank OD</v>
      </c>
      <c r="C18" s="4">
        <f>'Networth Inputs - old'!E36</f>
        <v>48398458</v>
      </c>
      <c r="G18" s="3" t="s">
        <v>175</v>
      </c>
      <c r="M18" s="115" t="s">
        <v>507</v>
      </c>
      <c r="N18" s="274">
        <f>N6/0.9</f>
        <v>134377801.9203679</v>
      </c>
      <c r="O18" s="274">
        <f>O6/0.8</f>
        <v>151175027.16041386</v>
      </c>
      <c r="P18" s="275">
        <f>P6</f>
        <v>12138018.632169029</v>
      </c>
      <c r="Q18" s="275">
        <f>Q6</f>
        <v>40542718.666382022</v>
      </c>
      <c r="R18" s="274">
        <f>SUM(N18:Q18)</f>
        <v>338233566.37933278</v>
      </c>
      <c r="U18" s="55"/>
    </row>
    <row r="19" spans="1:21" x14ac:dyDescent="0.25">
      <c r="A19" s="3">
        <f t="shared" si="0"/>
        <v>16</v>
      </c>
      <c r="B19" s="3" t="str">
        <f>'Networth Inputs - old'!C13</f>
        <v>Swan Capital</v>
      </c>
      <c r="C19" s="4">
        <f>'Networth Inputs - old'!E13</f>
        <v>5881036</v>
      </c>
      <c r="G19" s="3" t="s">
        <v>176</v>
      </c>
    </row>
    <row r="20" spans="1:21" ht="15.75" thickBot="1" x14ac:dyDescent="0.3">
      <c r="A20" s="3">
        <f t="shared" si="0"/>
        <v>17</v>
      </c>
      <c r="B20" s="3" t="str">
        <f>'Networth Inputs - old'!C43</f>
        <v>Sushila Nahar Zerodha</v>
      </c>
      <c r="C20" s="4">
        <f>'Networth Inputs - old'!E43</f>
        <v>13500000</v>
      </c>
      <c r="M20" s="115" t="s">
        <v>489</v>
      </c>
      <c r="N20" s="55"/>
      <c r="O20" s="55"/>
    </row>
    <row r="21" spans="1:21" x14ac:dyDescent="0.25">
      <c r="A21" s="3">
        <f t="shared" si="0"/>
        <v>18</v>
      </c>
      <c r="B21" s="3" t="str">
        <f>'Networth Inputs - old'!C44</f>
        <v>Sumesh FD</v>
      </c>
      <c r="C21" s="4">
        <f>'Networth Inputs - old'!E44</f>
        <v>2500000</v>
      </c>
      <c r="M21" s="259" t="s">
        <v>484</v>
      </c>
      <c r="N21" s="260">
        <v>23791151</v>
      </c>
      <c r="O21" s="4"/>
      <c r="Q21" s="57"/>
    </row>
    <row r="22" spans="1:21" x14ac:dyDescent="0.25">
      <c r="B22" s="8" t="s">
        <v>158</v>
      </c>
      <c r="C22" s="56">
        <f>SUM(C4:C21)</f>
        <v>728281117.93014169</v>
      </c>
      <c r="D22" s="254"/>
      <c r="M22" s="261" t="s">
        <v>485</v>
      </c>
      <c r="N22" s="262">
        <v>25000000</v>
      </c>
      <c r="O22" s="5"/>
      <c r="Q22" s="304"/>
    </row>
    <row r="23" spans="1:21" x14ac:dyDescent="0.25">
      <c r="M23" s="142" t="s">
        <v>486</v>
      </c>
      <c r="N23" s="263">
        <f>N22-N21</f>
        <v>1208849</v>
      </c>
    </row>
    <row r="24" spans="1:21" x14ac:dyDescent="0.25">
      <c r="M24" s="261" t="s">
        <v>487</v>
      </c>
      <c r="N24" s="264">
        <f>'Networth Inputs - old'!E21</f>
        <v>14852</v>
      </c>
    </row>
    <row r="25" spans="1:21" ht="15.75" thickBot="1" x14ac:dyDescent="0.3">
      <c r="A25" s="58" t="s">
        <v>177</v>
      </c>
      <c r="B25" s="59"/>
      <c r="M25" s="258" t="s">
        <v>488</v>
      </c>
      <c r="N25" s="265">
        <f>N24-N23</f>
        <v>-1193997</v>
      </c>
      <c r="S25" s="100"/>
    </row>
    <row r="26" spans="1:21" x14ac:dyDescent="0.25">
      <c r="A26" s="60"/>
      <c r="B26" s="61"/>
      <c r="C26" s="108" t="s">
        <v>277</v>
      </c>
      <c r="G26" s="55"/>
      <c r="S26" s="100"/>
    </row>
    <row r="27" spans="1:21" x14ac:dyDescent="0.25">
      <c r="A27" s="98">
        <f>2100*144875</f>
        <v>304237500</v>
      </c>
      <c r="B27" s="99"/>
      <c r="C27" s="242">
        <f>SUMIFS('Networth Inputs - old'!$E$4:$E$54,'Networth Inputs - old'!$D$4:$D$54,"Debt")-'Networth Inputs - old'!E10-'Networth Inputs - old'!E11-'Networth Inputs - old'!E30-'Networth Inputs - old'!E31-'Networth Inputs - old'!E34</f>
        <v>138215538.27000001</v>
      </c>
      <c r="D27" s="243" t="s">
        <v>447</v>
      </c>
      <c r="G27" s="55"/>
      <c r="H27" s="236"/>
    </row>
    <row r="28" spans="1:21" x14ac:dyDescent="0.25">
      <c r="C28" s="4"/>
      <c r="D28" s="4"/>
      <c r="G28" s="55"/>
      <c r="H28" s="236"/>
    </row>
    <row r="29" spans="1:21" x14ac:dyDescent="0.25">
      <c r="G29" s="52"/>
      <c r="H29" s="236"/>
    </row>
    <row r="30" spans="1:21" x14ac:dyDescent="0.25">
      <c r="G30" s="237"/>
      <c r="H30" s="236"/>
      <c r="M30" s="276"/>
      <c r="N30" s="277" t="s">
        <v>518</v>
      </c>
      <c r="O30" s="277" t="s">
        <v>511</v>
      </c>
      <c r="P30" s="277" t="s">
        <v>512</v>
      </c>
      <c r="R30" s="115" t="s">
        <v>513</v>
      </c>
    </row>
    <row r="31" spans="1:21" x14ac:dyDescent="0.25">
      <c r="A31" s="58" t="s">
        <v>264</v>
      </c>
      <c r="B31" s="59"/>
      <c r="G31" s="233"/>
      <c r="H31" s="236"/>
      <c r="M31" s="278" t="s">
        <v>70</v>
      </c>
      <c r="N31" s="279">
        <v>4654525</v>
      </c>
      <c r="O31" s="276"/>
      <c r="P31" s="280">
        <f>N31-O31</f>
        <v>4654525</v>
      </c>
      <c r="R31" s="115" t="s">
        <v>514</v>
      </c>
    </row>
    <row r="32" spans="1:21" x14ac:dyDescent="0.25">
      <c r="A32" s="60"/>
      <c r="B32" s="61"/>
      <c r="G32" s="4"/>
      <c r="H32" s="236"/>
      <c r="M32" s="278" t="s">
        <v>71</v>
      </c>
      <c r="N32" s="279">
        <v>139762395.56280449</v>
      </c>
      <c r="O32" s="279">
        <v>139762395.56280401</v>
      </c>
      <c r="P32" s="280">
        <f t="shared" ref="P32:P35" si="6">N32-O32</f>
        <v>4.76837158203125E-7</v>
      </c>
      <c r="R32" s="115" t="s">
        <v>515</v>
      </c>
    </row>
    <row r="33" spans="1:18" x14ac:dyDescent="0.25">
      <c r="A33" s="62">
        <f>'Networth Inputs - old'!E19+'Networth Inputs - old'!E20+'Networth Inputs - old'!E24+'Networth Inputs - old'!E25</f>
        <v>410958817.93014157</v>
      </c>
      <c r="B33" s="63"/>
      <c r="C33" s="106"/>
      <c r="G33" s="57"/>
      <c r="H33" s="236"/>
      <c r="M33" s="276" t="s">
        <v>72</v>
      </c>
      <c r="N33" s="279">
        <v>156058629.68034932</v>
      </c>
      <c r="O33" s="279">
        <v>43649885.085722104</v>
      </c>
      <c r="P33" s="280">
        <f t="shared" si="6"/>
        <v>112408744.59462722</v>
      </c>
      <c r="R33" s="115" t="s">
        <v>516</v>
      </c>
    </row>
    <row r="34" spans="1:18" x14ac:dyDescent="0.25">
      <c r="M34" s="276" t="s">
        <v>73</v>
      </c>
      <c r="N34" s="279">
        <v>20082505.199999999</v>
      </c>
      <c r="O34" s="276"/>
      <c r="P34" s="280">
        <f t="shared" si="6"/>
        <v>20082505.199999999</v>
      </c>
      <c r="R34" s="115" t="s">
        <v>517</v>
      </c>
    </row>
    <row r="35" spans="1:18" x14ac:dyDescent="0.25">
      <c r="A35" s="58" t="s">
        <v>278</v>
      </c>
      <c r="B35" s="59"/>
      <c r="M35" s="276" t="s">
        <v>74</v>
      </c>
      <c r="N35" s="279">
        <v>186422710.18000001</v>
      </c>
      <c r="O35" s="276"/>
      <c r="P35" s="280">
        <f t="shared" si="6"/>
        <v>186422710.18000001</v>
      </c>
    </row>
    <row r="36" spans="1:18" x14ac:dyDescent="0.25">
      <c r="A36" s="60"/>
      <c r="B36" s="61"/>
      <c r="M36" s="276"/>
      <c r="N36" s="231">
        <f>SUM(N31:N35)</f>
        <v>506980765.62315381</v>
      </c>
      <c r="O36" s="231">
        <f>SUM(O32:O33)</f>
        <v>183412280.64852613</v>
      </c>
      <c r="P36" s="231">
        <f>SUM(P31:P35)</f>
        <v>323568484.97462773</v>
      </c>
    </row>
    <row r="37" spans="1:18" x14ac:dyDescent="0.25">
      <c r="A37" s="98">
        <v>0</v>
      </c>
      <c r="B37" s="63"/>
      <c r="C37" s="4">
        <v>60000000</v>
      </c>
      <c r="G37" s="4"/>
      <c r="H37" s="236"/>
      <c r="M37" s="278" t="s">
        <v>508</v>
      </c>
      <c r="N37" s="279">
        <v>-183412280.64852667</v>
      </c>
      <c r="O37" s="276"/>
      <c r="P37" s="276"/>
    </row>
    <row r="38" spans="1:18" x14ac:dyDescent="0.25">
      <c r="G38" s="4"/>
      <c r="H38" s="236"/>
      <c r="I38" s="65"/>
      <c r="M38" s="276"/>
      <c r="N38" s="281">
        <f>N36+N37</f>
        <v>323568484.97462714</v>
      </c>
      <c r="O38" s="276"/>
      <c r="P38" s="276"/>
    </row>
    <row r="39" spans="1:18" x14ac:dyDescent="0.25">
      <c r="M39" s="278" t="s">
        <v>509</v>
      </c>
      <c r="N39" s="279">
        <v>31500000</v>
      </c>
      <c r="O39" s="276"/>
      <c r="P39" s="276"/>
    </row>
    <row r="40" spans="1:18" x14ac:dyDescent="0.25">
      <c r="M40" s="230" t="s">
        <v>510</v>
      </c>
      <c r="N40" s="281">
        <f>N38+N39</f>
        <v>355068484.97462714</v>
      </c>
      <c r="O40" s="276"/>
      <c r="P40" s="276"/>
    </row>
    <row r="41" spans="1:18" x14ac:dyDescent="0.25">
      <c r="H41" s="236"/>
    </row>
    <row r="42" spans="1:18" x14ac:dyDescent="0.25">
      <c r="H42" s="236"/>
    </row>
    <row r="44" spans="1:18" x14ac:dyDescent="0.25">
      <c r="G44" s="4"/>
    </row>
    <row r="48" spans="1:18" x14ac:dyDescent="0.25">
      <c r="G48" s="4"/>
    </row>
    <row r="49" spans="7:7" x14ac:dyDescent="0.25">
      <c r="G49" s="4"/>
    </row>
  </sheetData>
  <conditionalFormatting sqref="N2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N7:R7">
    <cfRule type="cellIs" dxfId="1" priority="9" operator="lessThan">
      <formula>0</formula>
    </cfRule>
    <cfRule type="cellIs" dxfId="0" priority="10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55"/>
  <sheetViews>
    <sheetView workbookViewId="0">
      <selection activeCell="A2" sqref="A2"/>
    </sheetView>
  </sheetViews>
  <sheetFormatPr defaultColWidth="8.85546875" defaultRowHeight="15" x14ac:dyDescent="0.25"/>
  <cols>
    <col min="4" max="4" width="44.7109375" bestFit="1" customWidth="1"/>
    <col min="5" max="5" width="14.42578125" bestFit="1" customWidth="1"/>
    <col min="6" max="6" width="9.85546875" bestFit="1" customWidth="1"/>
    <col min="7" max="7" width="16.28515625" bestFit="1" customWidth="1"/>
    <col min="8" max="8" width="18.7109375" bestFit="1" customWidth="1"/>
    <col min="9" max="9" width="15.28515625" bestFit="1" customWidth="1"/>
    <col min="10" max="10" width="15.28515625" customWidth="1"/>
    <col min="12" max="12" width="15.28515625" bestFit="1" customWidth="1"/>
  </cols>
  <sheetData>
    <row r="1" spans="2:12" x14ac:dyDescent="0.25">
      <c r="I1" s="133" t="s">
        <v>420</v>
      </c>
      <c r="J1" s="73"/>
      <c r="K1" s="73"/>
      <c r="L1" s="133" t="s">
        <v>421</v>
      </c>
    </row>
    <row r="2" spans="2:12" x14ac:dyDescent="0.25">
      <c r="I2" s="222" t="e">
        <f>SUM(I6:I81)</f>
        <v>#REF!</v>
      </c>
      <c r="J2" s="73"/>
      <c r="K2" s="73"/>
      <c r="L2" s="222" t="e">
        <f>SUM(L6:L81)</f>
        <v>#REF!</v>
      </c>
    </row>
    <row r="5" spans="2:12" x14ac:dyDescent="0.25">
      <c r="B5" s="196" t="s">
        <v>42</v>
      </c>
      <c r="C5" s="196" t="s">
        <v>130</v>
      </c>
      <c r="D5" s="196" t="s">
        <v>148</v>
      </c>
      <c r="E5" s="196" t="s">
        <v>331</v>
      </c>
      <c r="F5" s="196" t="s">
        <v>408</v>
      </c>
      <c r="G5" s="196" t="s">
        <v>133</v>
      </c>
      <c r="H5" s="196" t="s">
        <v>409</v>
      </c>
      <c r="I5" s="196" t="s">
        <v>407</v>
      </c>
      <c r="J5" s="196" t="s">
        <v>417</v>
      </c>
      <c r="K5" s="196" t="s">
        <v>410</v>
      </c>
      <c r="L5" s="196" t="s">
        <v>411</v>
      </c>
    </row>
    <row r="6" spans="2:12" x14ac:dyDescent="0.25">
      <c r="B6">
        <v>1</v>
      </c>
      <c r="C6" t="s">
        <v>412</v>
      </c>
      <c r="D6" t="s">
        <v>413</v>
      </c>
      <c r="E6" s="79">
        <f>GETPIVOTDATA("Value as of Today",'Holdings Summary'!$L$5)</f>
        <v>107448061.39802732</v>
      </c>
      <c r="F6" s="219">
        <v>1</v>
      </c>
      <c r="G6" s="79">
        <f>E6*F6</f>
        <v>107448061.39802732</v>
      </c>
      <c r="H6" s="221">
        <v>0.2</v>
      </c>
      <c r="I6" s="199">
        <f>H6*G6</f>
        <v>21489612.279605463</v>
      </c>
      <c r="J6" s="199" t="s">
        <v>418</v>
      </c>
      <c r="K6" s="221">
        <v>0.125</v>
      </c>
      <c r="L6" s="199">
        <f>K6*I6</f>
        <v>2686201.5349506829</v>
      </c>
    </row>
    <row r="7" spans="2:12" x14ac:dyDescent="0.25">
      <c r="B7">
        <f>B6+1</f>
        <v>2</v>
      </c>
      <c r="C7" t="s">
        <v>412</v>
      </c>
      <c r="D7" t="s">
        <v>414</v>
      </c>
      <c r="E7" s="206">
        <v>0</v>
      </c>
      <c r="F7" s="219">
        <v>1</v>
      </c>
      <c r="G7" s="79">
        <f t="shared" ref="G7:G13" si="0">E7*F7</f>
        <v>0</v>
      </c>
      <c r="H7" s="221">
        <v>0.06</v>
      </c>
      <c r="I7" s="199">
        <f t="shared" ref="I7:I55" si="1">H7*G7</f>
        <v>0</v>
      </c>
      <c r="J7" s="199" t="s">
        <v>418</v>
      </c>
      <c r="K7" s="221">
        <v>0.3</v>
      </c>
      <c r="L7" s="199">
        <f t="shared" ref="L7:L55" si="2">K7*I7</f>
        <v>0</v>
      </c>
    </row>
    <row r="8" spans="2:12" x14ac:dyDescent="0.25">
      <c r="B8">
        <f t="shared" ref="B8:B55" si="3">B7+1</f>
        <v>3</v>
      </c>
      <c r="C8" t="s">
        <v>412</v>
      </c>
      <c r="D8" t="s">
        <v>415</v>
      </c>
      <c r="E8" s="79">
        <f>GETPIVOTDATA("Value as of Today",'Holdings Summary'!$AE$5,"Debt/Equity","Equity")</f>
        <v>139245352.0488264</v>
      </c>
      <c r="F8" s="219">
        <v>1</v>
      </c>
      <c r="G8" s="79">
        <f t="shared" si="0"/>
        <v>139245352.0488264</v>
      </c>
      <c r="H8" s="221">
        <v>0.2</v>
      </c>
      <c r="I8" s="199">
        <f t="shared" si="1"/>
        <v>27849070.409765281</v>
      </c>
      <c r="J8" s="199" t="s">
        <v>418</v>
      </c>
      <c r="K8" s="221">
        <v>0.125</v>
      </c>
      <c r="L8" s="199">
        <f t="shared" si="2"/>
        <v>3481133.8012206601</v>
      </c>
    </row>
    <row r="9" spans="2:12" x14ac:dyDescent="0.25">
      <c r="B9">
        <f t="shared" si="3"/>
        <v>4</v>
      </c>
      <c r="C9" t="s">
        <v>412</v>
      </c>
      <c r="D9" t="s">
        <v>416</v>
      </c>
      <c r="E9" s="79">
        <f>GETPIVOTDATA("Value as of Today",'Holdings Summary'!$AE$5,"Debt/Equity","Debt")</f>
        <v>47626021.951543704</v>
      </c>
      <c r="F9" s="219">
        <v>1</v>
      </c>
      <c r="G9" s="79">
        <f t="shared" si="0"/>
        <v>47626021.951543704</v>
      </c>
      <c r="H9" s="221">
        <v>0.06</v>
      </c>
      <c r="I9" s="199">
        <f t="shared" si="1"/>
        <v>2857561.3170926222</v>
      </c>
      <c r="J9" s="199" t="s">
        <v>418</v>
      </c>
      <c r="K9" s="221">
        <v>0.3</v>
      </c>
      <c r="L9" s="199">
        <f t="shared" si="2"/>
        <v>857268.39512778667</v>
      </c>
    </row>
    <row r="10" spans="2:12" x14ac:dyDescent="0.25">
      <c r="B10">
        <f t="shared" si="3"/>
        <v>5</v>
      </c>
      <c r="C10" t="s">
        <v>297</v>
      </c>
      <c r="D10" t="s">
        <v>413</v>
      </c>
      <c r="E10" s="206">
        <v>0</v>
      </c>
      <c r="F10" s="219">
        <v>1</v>
      </c>
      <c r="G10" s="79">
        <f t="shared" si="0"/>
        <v>0</v>
      </c>
      <c r="H10" s="221">
        <v>0.2</v>
      </c>
      <c r="I10" s="199">
        <f t="shared" si="1"/>
        <v>0</v>
      </c>
      <c r="J10" s="199" t="s">
        <v>418</v>
      </c>
      <c r="K10" s="221">
        <v>0.125</v>
      </c>
      <c r="L10" s="199">
        <f t="shared" si="2"/>
        <v>0</v>
      </c>
    </row>
    <row r="11" spans="2:12" x14ac:dyDescent="0.25">
      <c r="B11">
        <f t="shared" si="3"/>
        <v>6</v>
      </c>
      <c r="C11" t="s">
        <v>297</v>
      </c>
      <c r="D11" t="s">
        <v>414</v>
      </c>
      <c r="E11" s="79">
        <f>GETPIVOTDATA("Value as of Today",'Holdings Summary'!$I$5,"Debt/Equity","Debt")</f>
        <v>20087829.300000001</v>
      </c>
      <c r="F11" s="219">
        <v>1</v>
      </c>
      <c r="G11" s="79">
        <f t="shared" si="0"/>
        <v>20087829.300000001</v>
      </c>
      <c r="H11" s="221">
        <v>0.06</v>
      </c>
      <c r="I11" s="199">
        <f t="shared" si="1"/>
        <v>1205269.7579999999</v>
      </c>
      <c r="J11" s="199" t="s">
        <v>418</v>
      </c>
      <c r="K11" s="221">
        <v>0.3</v>
      </c>
      <c r="L11" s="199">
        <f t="shared" si="2"/>
        <v>361580.92739999999</v>
      </c>
    </row>
    <row r="12" spans="2:12" x14ac:dyDescent="0.25">
      <c r="B12">
        <f t="shared" si="3"/>
        <v>7</v>
      </c>
      <c r="C12" t="s">
        <v>297</v>
      </c>
      <c r="D12" t="s">
        <v>415</v>
      </c>
      <c r="E12" s="79" t="e">
        <f>GETPIVOTDATA("Value as of Today",'Holdings Summary'!$AA$5,"Debt/Equity","Equity")</f>
        <v>#REF!</v>
      </c>
      <c r="F12" s="219">
        <v>1</v>
      </c>
      <c r="G12" s="79" t="e">
        <f t="shared" si="0"/>
        <v>#REF!</v>
      </c>
      <c r="H12" s="221">
        <v>0.2</v>
      </c>
      <c r="I12" s="199" t="e">
        <f t="shared" si="1"/>
        <v>#REF!</v>
      </c>
      <c r="J12" s="199" t="s">
        <v>418</v>
      </c>
      <c r="K12" s="221">
        <v>0.125</v>
      </c>
      <c r="L12" s="199" t="e">
        <f t="shared" si="2"/>
        <v>#REF!</v>
      </c>
    </row>
    <row r="13" spans="2:12" x14ac:dyDescent="0.25">
      <c r="B13">
        <f t="shared" si="3"/>
        <v>8</v>
      </c>
      <c r="C13" t="s">
        <v>297</v>
      </c>
      <c r="D13" t="s">
        <v>416</v>
      </c>
      <c r="E13" s="79">
        <f>GETPIVOTDATA("Value as of Today",'Holdings Summary'!$AA$5,"Debt/Equity","Debt")</f>
        <v>92406490.592611194</v>
      </c>
      <c r="F13" s="219">
        <v>1</v>
      </c>
      <c r="G13" s="79">
        <f t="shared" si="0"/>
        <v>92406490.592611194</v>
      </c>
      <c r="H13" s="221">
        <v>0.06</v>
      </c>
      <c r="I13" s="199">
        <f t="shared" si="1"/>
        <v>5544389.4355566716</v>
      </c>
      <c r="J13" s="199" t="s">
        <v>418</v>
      </c>
      <c r="K13" s="221">
        <v>0.25</v>
      </c>
      <c r="L13" s="199">
        <f t="shared" si="2"/>
        <v>1386097.3588891679</v>
      </c>
    </row>
    <row r="14" spans="2:12" x14ac:dyDescent="0.25">
      <c r="B14">
        <f t="shared" si="3"/>
        <v>9</v>
      </c>
      <c r="C14" t="s">
        <v>297</v>
      </c>
      <c r="D14" t="str">
        <f>'Strategy Allocation Old'!B5&amp;" "&amp;'Strategy Allocation Old'!C5</f>
        <v>Mishayan Zerodha Client Account Long Options</v>
      </c>
      <c r="E14" s="79">
        <f>'Strategy Allocation Old'!E5</f>
        <v>728281117.93014169</v>
      </c>
      <c r="F14" s="220">
        <f>'Strategy Allocation Old'!D5</f>
        <v>1.4999999999999999E-2</v>
      </c>
      <c r="G14" s="79">
        <f>'Strategy Allocation Old'!F5</f>
        <v>728281117.93014169</v>
      </c>
      <c r="H14" s="221">
        <v>0.1</v>
      </c>
      <c r="I14" s="199">
        <f t="shared" si="1"/>
        <v>72828111.793014169</v>
      </c>
      <c r="J14" s="199" t="s">
        <v>419</v>
      </c>
      <c r="K14" s="221">
        <v>0.25</v>
      </c>
      <c r="L14" s="199">
        <f t="shared" si="2"/>
        <v>18207027.948253542</v>
      </c>
    </row>
    <row r="15" spans="2:12" x14ac:dyDescent="0.25">
      <c r="B15">
        <f t="shared" si="3"/>
        <v>10</v>
      </c>
      <c r="C15" t="s">
        <v>297</v>
      </c>
      <c r="D15" t="str">
        <f>'Strategy Allocation Old'!B6&amp;" "&amp;'Strategy Allocation Old'!C6</f>
        <v>Mishayan Zerodha Client Account PSAR</v>
      </c>
      <c r="E15" s="79">
        <f>'Strategy Allocation Old'!E6</f>
        <v>728281117.93014169</v>
      </c>
      <c r="F15" s="219">
        <f>'Strategy Allocation Old'!D6</f>
        <v>2.12</v>
      </c>
      <c r="G15" s="79">
        <f>'Strategy Allocation Old'!F6</f>
        <v>1543955970.0119004</v>
      </c>
      <c r="H15" s="221">
        <v>0.2</v>
      </c>
      <c r="I15" s="199">
        <f t="shared" si="1"/>
        <v>308791194.00238007</v>
      </c>
      <c r="J15" s="199" t="s">
        <v>419</v>
      </c>
      <c r="K15" s="221">
        <v>0.25</v>
      </c>
      <c r="L15" s="199">
        <f t="shared" si="2"/>
        <v>77197798.500595018</v>
      </c>
    </row>
    <row r="16" spans="2:12" x14ac:dyDescent="0.25">
      <c r="B16">
        <f t="shared" si="3"/>
        <v>11</v>
      </c>
      <c r="C16" t="s">
        <v>297</v>
      </c>
      <c r="D16" t="str">
        <f>'Strategy Allocation Old'!B7&amp;" "&amp;'Strategy Allocation Old'!C7</f>
        <v>Mishayan Zerodha Client Account Gold</v>
      </c>
      <c r="E16" s="79">
        <f>'Strategy Allocation Old'!E7</f>
        <v>304237500</v>
      </c>
      <c r="F16" s="219">
        <f>'Strategy Allocation Old'!D7</f>
        <v>1</v>
      </c>
      <c r="G16" s="79">
        <f>'Strategy Allocation Old'!F7</f>
        <v>304237500</v>
      </c>
      <c r="H16" s="221">
        <v>0.1</v>
      </c>
      <c r="I16" s="199">
        <f t="shared" si="1"/>
        <v>30423750</v>
      </c>
      <c r="J16" s="199" t="s">
        <v>419</v>
      </c>
      <c r="K16" s="221">
        <v>0.25</v>
      </c>
      <c r="L16" s="199">
        <f t="shared" si="2"/>
        <v>7605937.5</v>
      </c>
    </row>
    <row r="17" spans="2:12" x14ac:dyDescent="0.25">
      <c r="B17">
        <f t="shared" si="3"/>
        <v>12</v>
      </c>
      <c r="C17" t="s">
        <v>297</v>
      </c>
      <c r="D17" t="str">
        <f>'Strategy Allocation Old'!B8&amp;" "&amp;'Strategy Allocation Old'!C8</f>
        <v>Mishayan Zerodha Client Account Put Protection</v>
      </c>
      <c r="E17" s="79">
        <f>'Strategy Allocation Old'!E8</f>
        <v>410958817.93014157</v>
      </c>
      <c r="F17" s="219">
        <f>'Strategy Allocation Old'!D8</f>
        <v>1</v>
      </c>
      <c r="G17" s="79">
        <f>'Strategy Allocation Old'!F8</f>
        <v>410958817.93014157</v>
      </c>
      <c r="H17" s="221">
        <v>-0.02</v>
      </c>
      <c r="I17" s="199">
        <f t="shared" si="1"/>
        <v>-8219176.3586028311</v>
      </c>
      <c r="J17" s="199" t="s">
        <v>419</v>
      </c>
      <c r="K17" s="221">
        <v>0.25</v>
      </c>
      <c r="L17" s="199">
        <f t="shared" si="2"/>
        <v>-2054794.0896507078</v>
      </c>
    </row>
    <row r="18" spans="2:12" x14ac:dyDescent="0.25">
      <c r="B18">
        <f t="shared" si="3"/>
        <v>13</v>
      </c>
      <c r="C18" t="s">
        <v>297</v>
      </c>
      <c r="D18" t="str">
        <f>'Strategy Allocation Old'!B9&amp;" "&amp;'Strategy Allocation Old'!C9</f>
        <v>Mishayan Zerodha Client Account Stock Futures</v>
      </c>
      <c r="E18" s="79">
        <f>'Strategy Allocation Old'!E9</f>
        <v>0</v>
      </c>
      <c r="F18" s="219">
        <f>'Strategy Allocation Old'!D9</f>
        <v>1</v>
      </c>
      <c r="G18" s="79">
        <f>'Strategy Allocation Old'!F9</f>
        <v>0</v>
      </c>
      <c r="H18" s="221">
        <v>0.1</v>
      </c>
      <c r="I18" s="199">
        <f t="shared" si="1"/>
        <v>0</v>
      </c>
      <c r="J18" s="199" t="s">
        <v>419</v>
      </c>
      <c r="K18" s="221">
        <v>0.25</v>
      </c>
      <c r="L18" s="199">
        <f t="shared" si="2"/>
        <v>0</v>
      </c>
    </row>
    <row r="19" spans="2:12" x14ac:dyDescent="0.25">
      <c r="B19">
        <f t="shared" si="3"/>
        <v>14</v>
      </c>
      <c r="C19" t="s">
        <v>412</v>
      </c>
      <c r="D19" t="str">
        <f>'Strategy Allocation Old'!B10&amp;" "&amp;'Strategy Allocation Old'!C10</f>
        <v>SRE Long Options</v>
      </c>
      <c r="E19" s="79">
        <f>'Strategy Allocation Old'!E10</f>
        <v>116820000</v>
      </c>
      <c r="F19" s="219">
        <f>'Strategy Allocation Old'!D10</f>
        <v>1.4999999999999999E-2</v>
      </c>
      <c r="G19" s="79">
        <f>'Strategy Allocation Old'!F10</f>
        <v>116820000</v>
      </c>
      <c r="H19" s="221">
        <v>0.1</v>
      </c>
      <c r="I19" s="199">
        <f t="shared" si="1"/>
        <v>11682000</v>
      </c>
      <c r="J19" s="199" t="s">
        <v>419</v>
      </c>
      <c r="K19" s="221">
        <v>0.3</v>
      </c>
      <c r="L19" s="199">
        <f t="shared" si="2"/>
        <v>3504600</v>
      </c>
    </row>
    <row r="20" spans="2:12" x14ac:dyDescent="0.25">
      <c r="B20">
        <f t="shared" si="3"/>
        <v>15</v>
      </c>
      <c r="C20" t="s">
        <v>412</v>
      </c>
      <c r="D20" t="str">
        <f>'Strategy Allocation Old'!B11&amp;" "&amp;'Strategy Allocation Old'!C11</f>
        <v>SRE PSAR</v>
      </c>
      <c r="E20" s="79">
        <f>'Strategy Allocation Old'!E11</f>
        <v>116820000</v>
      </c>
      <c r="F20" s="219">
        <f>'Strategy Allocation Old'!D11</f>
        <v>2</v>
      </c>
      <c r="G20" s="79">
        <f>'Strategy Allocation Old'!F11</f>
        <v>233640000</v>
      </c>
      <c r="H20" s="221">
        <v>0.1</v>
      </c>
      <c r="I20" s="199">
        <f t="shared" si="1"/>
        <v>23364000</v>
      </c>
      <c r="J20" s="199" t="s">
        <v>419</v>
      </c>
      <c r="K20" s="221">
        <v>0.3</v>
      </c>
      <c r="L20" s="199">
        <f t="shared" si="2"/>
        <v>7009200</v>
      </c>
    </row>
    <row r="21" spans="2:12" x14ac:dyDescent="0.25">
      <c r="B21">
        <f t="shared" si="3"/>
        <v>16</v>
      </c>
      <c r="C21" t="s">
        <v>412</v>
      </c>
      <c r="D21" t="str">
        <f>'Strategy Allocation Old'!B12&amp;" "&amp;'Strategy Allocation Old'!C12</f>
        <v>Aurus Alpha Long Options</v>
      </c>
      <c r="E21" s="79">
        <f>'Strategy Allocation Old'!E12</f>
        <v>249427750</v>
      </c>
      <c r="F21" s="219">
        <f>'Strategy Allocation Old'!D12</f>
        <v>2.5000000000000001E-2</v>
      </c>
      <c r="G21" s="79">
        <f>'Strategy Allocation Old'!F12</f>
        <v>249427750</v>
      </c>
      <c r="H21" s="221">
        <v>0.1</v>
      </c>
      <c r="I21" s="199">
        <f t="shared" si="1"/>
        <v>24942775</v>
      </c>
      <c r="J21" s="199" t="s">
        <v>419</v>
      </c>
      <c r="K21" s="221">
        <v>0.3</v>
      </c>
      <c r="L21" s="199">
        <f t="shared" si="2"/>
        <v>7482832.5</v>
      </c>
    </row>
    <row r="22" spans="2:12" x14ac:dyDescent="0.25">
      <c r="B22">
        <f t="shared" si="3"/>
        <v>17</v>
      </c>
      <c r="C22" t="s">
        <v>412</v>
      </c>
      <c r="D22" t="str">
        <f>'Strategy Allocation Old'!B13&amp;" "&amp;'Strategy Allocation Old'!C13</f>
        <v>Aurus Alpha PSAR</v>
      </c>
      <c r="E22" s="79">
        <f>'Strategy Allocation Old'!E13</f>
        <v>249427750</v>
      </c>
      <c r="F22" s="219">
        <f>'Strategy Allocation Old'!D13</f>
        <v>3.34</v>
      </c>
      <c r="G22" s="79">
        <f>'Strategy Allocation Old'!F13</f>
        <v>833088685</v>
      </c>
      <c r="H22" s="221">
        <v>0.1</v>
      </c>
      <c r="I22" s="199">
        <f t="shared" si="1"/>
        <v>83308868.5</v>
      </c>
      <c r="J22" s="199" t="s">
        <v>419</v>
      </c>
      <c r="K22" s="221">
        <v>0.3</v>
      </c>
      <c r="L22" s="199">
        <f t="shared" si="2"/>
        <v>24992660.550000001</v>
      </c>
    </row>
    <row r="23" spans="2:12" x14ac:dyDescent="0.25">
      <c r="B23">
        <f t="shared" si="3"/>
        <v>18</v>
      </c>
      <c r="C23" t="s">
        <v>412</v>
      </c>
      <c r="D23" t="str">
        <f>'Strategy Allocation Old'!B14&amp;" "&amp;'Strategy Allocation Old'!C14</f>
        <v>Marwadi Long Options</v>
      </c>
      <c r="E23" s="79">
        <f>'Strategy Allocation Old'!E14</f>
        <v>227306000</v>
      </c>
      <c r="F23" s="219">
        <f>'Strategy Allocation Old'!D14</f>
        <v>1.4999999999999999E-2</v>
      </c>
      <c r="G23" s="79">
        <f>'Strategy Allocation Old'!F14</f>
        <v>227306000</v>
      </c>
      <c r="H23" s="221">
        <v>0.1</v>
      </c>
      <c r="I23" s="199">
        <f t="shared" si="1"/>
        <v>22730600</v>
      </c>
      <c r="J23" s="199" t="s">
        <v>419</v>
      </c>
      <c r="K23" s="221">
        <v>0.3</v>
      </c>
      <c r="L23" s="199">
        <f t="shared" si="2"/>
        <v>6819180</v>
      </c>
    </row>
    <row r="24" spans="2:12" x14ac:dyDescent="0.25">
      <c r="B24">
        <f t="shared" si="3"/>
        <v>19</v>
      </c>
      <c r="C24" t="s">
        <v>412</v>
      </c>
      <c r="D24" t="str">
        <f>'Strategy Allocation Old'!B15&amp;" "&amp;'Strategy Allocation Old'!C15</f>
        <v>Marwadi PSAR</v>
      </c>
      <c r="E24" s="79">
        <f>'Strategy Allocation Old'!E15</f>
        <v>227306000</v>
      </c>
      <c r="F24" s="219">
        <f>'Strategy Allocation Old'!D15</f>
        <v>3</v>
      </c>
      <c r="G24" s="79">
        <f>'Strategy Allocation Old'!F15</f>
        <v>681918000</v>
      </c>
      <c r="H24" s="221">
        <v>0.1</v>
      </c>
      <c r="I24" s="199">
        <f t="shared" si="1"/>
        <v>68191800</v>
      </c>
      <c r="J24" s="199" t="s">
        <v>419</v>
      </c>
      <c r="K24" s="221">
        <v>0.3</v>
      </c>
      <c r="L24" s="199">
        <f t="shared" si="2"/>
        <v>20457540</v>
      </c>
    </row>
    <row r="25" spans="2:12" x14ac:dyDescent="0.25">
      <c r="B25">
        <f t="shared" si="3"/>
        <v>20</v>
      </c>
      <c r="C25" t="s">
        <v>412</v>
      </c>
      <c r="D25" t="str">
        <f>'Strategy Allocation Old'!B16&amp;" "&amp;'Strategy Allocation Old'!C16</f>
        <v>Marwadi Gold Futures</v>
      </c>
      <c r="E25" s="79">
        <f>'Strategy Allocation Old'!E16</f>
        <v>90922400</v>
      </c>
      <c r="F25" s="219">
        <f>'Strategy Allocation Old'!D16</f>
        <v>1</v>
      </c>
      <c r="G25" s="79">
        <f>'Strategy Allocation Old'!F16</f>
        <v>90922400</v>
      </c>
      <c r="H25" s="221">
        <v>0.1</v>
      </c>
      <c r="I25" s="199">
        <f t="shared" si="1"/>
        <v>9092240</v>
      </c>
      <c r="J25" s="199" t="s">
        <v>419</v>
      </c>
      <c r="K25" s="221">
        <v>0.3</v>
      </c>
      <c r="L25" s="199">
        <f t="shared" si="2"/>
        <v>2727672</v>
      </c>
    </row>
    <row r="26" spans="2:12" x14ac:dyDescent="0.25">
      <c r="B26">
        <f t="shared" si="3"/>
        <v>21</v>
      </c>
      <c r="C26" t="s">
        <v>412</v>
      </c>
      <c r="D26" t="str">
        <f>'Strategy Allocation Old'!B17&amp;" "&amp;'Strategy Allocation Old'!C17</f>
        <v>Marwadi QAW Futures</v>
      </c>
      <c r="E26" s="79">
        <f>'Strategy Allocation Old'!E17</f>
        <v>90922400</v>
      </c>
      <c r="F26" s="219">
        <f>'Strategy Allocation Old'!D17</f>
        <v>1</v>
      </c>
      <c r="G26" s="79">
        <f>'Strategy Allocation Old'!F17</f>
        <v>90922400</v>
      </c>
      <c r="H26" s="221">
        <v>0.1</v>
      </c>
      <c r="I26" s="199">
        <f t="shared" si="1"/>
        <v>9092240</v>
      </c>
      <c r="J26" s="199" t="s">
        <v>419</v>
      </c>
      <c r="K26" s="221">
        <v>0.3</v>
      </c>
      <c r="L26" s="199">
        <f t="shared" si="2"/>
        <v>2727672</v>
      </c>
    </row>
    <row r="27" spans="2:12" x14ac:dyDescent="0.25">
      <c r="B27">
        <f t="shared" si="3"/>
        <v>22</v>
      </c>
      <c r="C27" t="s">
        <v>412</v>
      </c>
      <c r="D27" t="str">
        <f>'Strategy Allocation Old'!B18&amp;" "&amp;'Strategy Allocation Old'!C18</f>
        <v>Marwadi FPI Long Options</v>
      </c>
      <c r="E27" s="79">
        <f>'Strategy Allocation Old'!E18</f>
        <v>89460000</v>
      </c>
      <c r="F27" s="219">
        <f>'Strategy Allocation Old'!D18</f>
        <v>1.4999999999999999E-2</v>
      </c>
      <c r="G27" s="79">
        <f>'Strategy Allocation Old'!F18</f>
        <v>89460000</v>
      </c>
      <c r="H27" s="221">
        <v>0.1</v>
      </c>
      <c r="I27" s="199">
        <f t="shared" si="1"/>
        <v>8946000</v>
      </c>
      <c r="J27" s="199" t="s">
        <v>419</v>
      </c>
      <c r="K27" s="221">
        <v>0.3</v>
      </c>
      <c r="L27" s="199">
        <f t="shared" si="2"/>
        <v>2683800</v>
      </c>
    </row>
    <row r="28" spans="2:12" x14ac:dyDescent="0.25">
      <c r="B28">
        <f t="shared" si="3"/>
        <v>23</v>
      </c>
      <c r="C28" t="s">
        <v>412</v>
      </c>
      <c r="D28" t="str">
        <f>'Strategy Allocation Old'!B19&amp;" "&amp;'Strategy Allocation Old'!C19</f>
        <v>Marwadi FPI PSAR</v>
      </c>
      <c r="E28" s="79">
        <f>'Strategy Allocation Old'!E19</f>
        <v>89460000</v>
      </c>
      <c r="F28" s="219">
        <f>'Strategy Allocation Old'!D19</f>
        <v>3</v>
      </c>
      <c r="G28" s="79">
        <f>'Strategy Allocation Old'!F19</f>
        <v>268380000</v>
      </c>
      <c r="H28" s="221">
        <v>0.1</v>
      </c>
      <c r="I28" s="199">
        <f t="shared" si="1"/>
        <v>26838000</v>
      </c>
      <c r="J28" s="199" t="s">
        <v>419</v>
      </c>
      <c r="K28" s="221">
        <v>0.3</v>
      </c>
      <c r="L28" s="199">
        <f t="shared" si="2"/>
        <v>8051400</v>
      </c>
    </row>
    <row r="29" spans="2:12" x14ac:dyDescent="0.25">
      <c r="B29">
        <f t="shared" si="3"/>
        <v>24</v>
      </c>
      <c r="C29" t="s">
        <v>412</v>
      </c>
      <c r="D29" t="str">
        <f>'Strategy Allocation Old'!B20&amp;" "&amp;'Strategy Allocation Old'!C20</f>
        <v>Marwadi FPI QAW Futures</v>
      </c>
      <c r="E29" s="79">
        <f>'Strategy Allocation Old'!E20</f>
        <v>53676000</v>
      </c>
      <c r="F29" s="219">
        <f>'Strategy Allocation Old'!D20</f>
        <v>1</v>
      </c>
      <c r="G29" s="79">
        <f>'Strategy Allocation Old'!F20</f>
        <v>53676000</v>
      </c>
      <c r="H29" s="221">
        <v>0.1</v>
      </c>
      <c r="I29" s="199">
        <f t="shared" si="1"/>
        <v>5367600</v>
      </c>
      <c r="J29" s="199" t="s">
        <v>419</v>
      </c>
      <c r="K29" s="221">
        <v>0.3</v>
      </c>
      <c r="L29" s="199">
        <f t="shared" si="2"/>
        <v>1610280</v>
      </c>
    </row>
    <row r="30" spans="2:12" x14ac:dyDescent="0.25">
      <c r="B30">
        <f t="shared" si="3"/>
        <v>25</v>
      </c>
      <c r="C30" t="s">
        <v>412</v>
      </c>
      <c r="D30" t="str">
        <f>'Strategy Allocation Old'!B21&amp;" "&amp;'Strategy Allocation Old'!C21</f>
        <v>Affluence Prop Long Options</v>
      </c>
      <c r="E30" s="79">
        <f>'Strategy Allocation Old'!E21</f>
        <v>26124000</v>
      </c>
      <c r="F30" s="219">
        <f>'Strategy Allocation Old'!D21</f>
        <v>1.4999999999999999E-2</v>
      </c>
      <c r="G30" s="79">
        <f>'Strategy Allocation Old'!F21</f>
        <v>26124000</v>
      </c>
      <c r="H30" s="221">
        <v>0.1</v>
      </c>
      <c r="I30" s="199">
        <f t="shared" si="1"/>
        <v>2612400</v>
      </c>
      <c r="J30" s="199" t="s">
        <v>419</v>
      </c>
      <c r="K30" s="221">
        <v>0.3</v>
      </c>
      <c r="L30" s="199">
        <f t="shared" si="2"/>
        <v>783720</v>
      </c>
    </row>
    <row r="31" spans="2:12" x14ac:dyDescent="0.25">
      <c r="B31">
        <f t="shared" si="3"/>
        <v>26</v>
      </c>
      <c r="C31" t="s">
        <v>412</v>
      </c>
      <c r="D31" t="str">
        <f>'Strategy Allocation Old'!B22&amp;" "&amp;'Strategy Allocation Old'!C22</f>
        <v>Affluence Prop PSAR</v>
      </c>
      <c r="E31" s="79">
        <f>'Strategy Allocation Old'!E22</f>
        <v>26124000</v>
      </c>
      <c r="F31" s="219">
        <f>'Strategy Allocation Old'!D22</f>
        <v>3</v>
      </c>
      <c r="G31" s="79">
        <f>'Strategy Allocation Old'!F22</f>
        <v>78372000</v>
      </c>
      <c r="H31" s="221">
        <v>0.1</v>
      </c>
      <c r="I31" s="199">
        <f t="shared" si="1"/>
        <v>7837200</v>
      </c>
      <c r="J31" s="199" t="s">
        <v>419</v>
      </c>
      <c r="K31" s="221">
        <v>0.3</v>
      </c>
      <c r="L31" s="199">
        <f t="shared" si="2"/>
        <v>2351160</v>
      </c>
    </row>
    <row r="32" spans="2:12" x14ac:dyDescent="0.25">
      <c r="B32">
        <f t="shared" si="3"/>
        <v>27</v>
      </c>
      <c r="C32" t="s">
        <v>412</v>
      </c>
      <c r="D32" t="str">
        <f>'Strategy Allocation Old'!B23&amp;" "&amp;'Strategy Allocation Old'!C23</f>
        <v>Affluence Prop QAW Futures</v>
      </c>
      <c r="E32" s="79">
        <f>'Strategy Allocation Old'!E23</f>
        <v>15674400</v>
      </c>
      <c r="F32" s="219">
        <f>'Strategy Allocation Old'!D23</f>
        <v>1</v>
      </c>
      <c r="G32" s="79">
        <f>'Strategy Allocation Old'!F23</f>
        <v>15674400</v>
      </c>
      <c r="H32" s="221">
        <v>0.1</v>
      </c>
      <c r="I32" s="199">
        <f t="shared" si="1"/>
        <v>1567440</v>
      </c>
      <c r="J32" s="199" t="s">
        <v>419</v>
      </c>
      <c r="K32" s="221">
        <v>0.3</v>
      </c>
      <c r="L32" s="199">
        <f t="shared" si="2"/>
        <v>470232</v>
      </c>
    </row>
    <row r="33" spans="2:12" x14ac:dyDescent="0.25">
      <c r="B33">
        <f t="shared" si="3"/>
        <v>28</v>
      </c>
      <c r="C33" t="s">
        <v>412</v>
      </c>
      <c r="D33" t="str">
        <f>'Strategy Allocation Old'!B24&amp;" "&amp;'Strategy Allocation Old'!C24</f>
        <v>Affluence Prop Gold Futures</v>
      </c>
      <c r="E33" s="79">
        <f>'Strategy Allocation Old'!E24</f>
        <v>10449600</v>
      </c>
      <c r="F33" s="219">
        <f>'Strategy Allocation Old'!D24</f>
        <v>1</v>
      </c>
      <c r="G33" s="79">
        <f>'Strategy Allocation Old'!F24</f>
        <v>10449600</v>
      </c>
      <c r="H33" s="221">
        <v>0.1</v>
      </c>
      <c r="I33" s="199">
        <f t="shared" si="1"/>
        <v>1044960</v>
      </c>
      <c r="J33" s="199" t="s">
        <v>419</v>
      </c>
      <c r="K33" s="221">
        <v>0.3</v>
      </c>
      <c r="L33" s="199">
        <f t="shared" si="2"/>
        <v>313488</v>
      </c>
    </row>
    <row r="34" spans="2:12" x14ac:dyDescent="0.25">
      <c r="B34">
        <f t="shared" si="3"/>
        <v>29</v>
      </c>
      <c r="C34" t="s">
        <v>412</v>
      </c>
      <c r="D34" t="str">
        <f>'Strategy Allocation Old'!B25&amp;" "&amp;'Strategy Allocation Old'!C25</f>
        <v>Ashika Long Options</v>
      </c>
      <c r="E34" s="79">
        <f>'Strategy Allocation Old'!E25</f>
        <v>7000000</v>
      </c>
      <c r="F34" s="219">
        <f>'Strategy Allocation Old'!D25</f>
        <v>1.4999999999999999E-2</v>
      </c>
      <c r="G34" s="79">
        <f>'Strategy Allocation Old'!F25</f>
        <v>105000</v>
      </c>
      <c r="H34" s="221">
        <v>0.1</v>
      </c>
      <c r="I34" s="199">
        <f t="shared" si="1"/>
        <v>10500</v>
      </c>
      <c r="J34" s="199" t="s">
        <v>419</v>
      </c>
      <c r="K34" s="221">
        <v>0.3</v>
      </c>
      <c r="L34" s="199">
        <f t="shared" si="2"/>
        <v>3150</v>
      </c>
    </row>
    <row r="35" spans="2:12" x14ac:dyDescent="0.25">
      <c r="B35">
        <f t="shared" si="3"/>
        <v>30</v>
      </c>
      <c r="C35" t="s">
        <v>412</v>
      </c>
      <c r="D35" t="str">
        <f>'Strategy Allocation Old'!B26&amp;" "&amp;'Strategy Allocation Old'!C26</f>
        <v>Ashika PSAR</v>
      </c>
      <c r="E35" s="79">
        <f>'Strategy Allocation Old'!E26</f>
        <v>7000000</v>
      </c>
      <c r="F35" s="219">
        <f>'Strategy Allocation Old'!D26</f>
        <v>2</v>
      </c>
      <c r="G35" s="79">
        <f>'Strategy Allocation Old'!F26</f>
        <v>14000000</v>
      </c>
      <c r="H35" s="221">
        <v>0.1</v>
      </c>
      <c r="I35" s="199">
        <f t="shared" si="1"/>
        <v>1400000</v>
      </c>
      <c r="J35" s="199" t="s">
        <v>419</v>
      </c>
      <c r="K35" s="221">
        <v>0.3</v>
      </c>
      <c r="L35" s="199">
        <f t="shared" si="2"/>
        <v>420000</v>
      </c>
    </row>
    <row r="36" spans="2:12" x14ac:dyDescent="0.25">
      <c r="B36">
        <f t="shared" si="3"/>
        <v>31</v>
      </c>
      <c r="C36" t="s">
        <v>412</v>
      </c>
      <c r="D36" t="str">
        <f>'Strategy Allocation Old'!B27&amp;" "&amp;'Strategy Allocation Old'!C27</f>
        <v xml:space="preserve"> </v>
      </c>
      <c r="E36" s="79">
        <f>'Strategy Allocation Old'!E27</f>
        <v>0</v>
      </c>
      <c r="F36" s="219">
        <f>'Strategy Allocation Old'!D27</f>
        <v>0</v>
      </c>
      <c r="G36" s="79">
        <f>'Strategy Allocation Old'!F27</f>
        <v>0</v>
      </c>
      <c r="H36" s="221">
        <v>0.1</v>
      </c>
      <c r="I36" s="199">
        <f t="shared" si="1"/>
        <v>0</v>
      </c>
      <c r="J36" s="199" t="s">
        <v>419</v>
      </c>
      <c r="K36" s="221">
        <v>0.3</v>
      </c>
      <c r="L36" s="199">
        <f t="shared" si="2"/>
        <v>0</v>
      </c>
    </row>
    <row r="37" spans="2:12" x14ac:dyDescent="0.25">
      <c r="B37">
        <f t="shared" si="3"/>
        <v>32</v>
      </c>
      <c r="C37" t="s">
        <v>412</v>
      </c>
      <c r="D37" t="str">
        <f>'Strategy Allocation Old'!B28&amp;" "&amp;'Strategy Allocation Old'!C28</f>
        <v>SRE QAW Futures</v>
      </c>
      <c r="E37" s="79">
        <f>'Strategy Allocation Old'!E28</f>
        <v>70092000</v>
      </c>
      <c r="F37" s="219">
        <f>'Strategy Allocation Old'!D28</f>
        <v>1</v>
      </c>
      <c r="G37" s="79">
        <f>'Strategy Allocation Old'!F28</f>
        <v>70092000</v>
      </c>
      <c r="H37" s="221">
        <v>0.1</v>
      </c>
      <c r="I37" s="199">
        <f t="shared" si="1"/>
        <v>7009200</v>
      </c>
      <c r="J37" s="199" t="s">
        <v>419</v>
      </c>
      <c r="K37" s="221">
        <v>0.3</v>
      </c>
      <c r="L37" s="199">
        <f t="shared" si="2"/>
        <v>2102760</v>
      </c>
    </row>
    <row r="38" spans="2:12" x14ac:dyDescent="0.25">
      <c r="B38">
        <f t="shared" si="3"/>
        <v>33</v>
      </c>
      <c r="C38" t="s">
        <v>412</v>
      </c>
      <c r="D38" t="str">
        <f>'Strategy Allocation Old'!B29&amp;" "&amp;'Strategy Allocation Old'!C29</f>
        <v>SRE Gold Futures</v>
      </c>
      <c r="E38" s="79">
        <f>'Strategy Allocation Old'!E29</f>
        <v>0</v>
      </c>
      <c r="F38" s="219">
        <f>'Strategy Allocation Old'!D29</f>
        <v>1</v>
      </c>
      <c r="G38" s="79">
        <f>'Strategy Allocation Old'!F29</f>
        <v>0</v>
      </c>
      <c r="H38" s="221">
        <v>0.1</v>
      </c>
      <c r="I38" s="199">
        <f t="shared" si="1"/>
        <v>0</v>
      </c>
      <c r="J38" s="199" t="s">
        <v>419</v>
      </c>
      <c r="K38" s="221">
        <v>0.3</v>
      </c>
      <c r="L38" s="199">
        <f t="shared" si="2"/>
        <v>0</v>
      </c>
    </row>
    <row r="39" spans="2:12" x14ac:dyDescent="0.25">
      <c r="B39">
        <f t="shared" si="3"/>
        <v>34</v>
      </c>
      <c r="C39" t="s">
        <v>412</v>
      </c>
      <c r="D39" t="str">
        <f>'Strategy Allocation Old'!B30&amp;" "&amp;'Strategy Allocation Old'!C30</f>
        <v>Affluence High Risk Long Options</v>
      </c>
      <c r="E39" s="79">
        <f>'Strategy Allocation Old'!E30</f>
        <v>20737500</v>
      </c>
      <c r="F39" s="219">
        <f>'Strategy Allocation Old'!D30</f>
        <v>0.02</v>
      </c>
      <c r="G39" s="79">
        <f>'Strategy Allocation Old'!F30</f>
        <v>20737500</v>
      </c>
      <c r="H39" s="221">
        <v>0.1</v>
      </c>
      <c r="I39" s="199">
        <f t="shared" si="1"/>
        <v>2073750</v>
      </c>
      <c r="J39" s="199" t="s">
        <v>419</v>
      </c>
      <c r="K39" s="221">
        <v>0.3</v>
      </c>
      <c r="L39" s="199">
        <f t="shared" si="2"/>
        <v>622125</v>
      </c>
    </row>
    <row r="40" spans="2:12" x14ac:dyDescent="0.25">
      <c r="B40">
        <f t="shared" si="3"/>
        <v>35</v>
      </c>
      <c r="C40" t="s">
        <v>412</v>
      </c>
      <c r="D40" t="str">
        <f>'Strategy Allocation Old'!B31&amp;" "&amp;'Strategy Allocation Old'!C31</f>
        <v>Affluence High Risk PSAR</v>
      </c>
      <c r="E40" s="79">
        <f>'Strategy Allocation Old'!E31</f>
        <v>20737500</v>
      </c>
      <c r="F40" s="219">
        <f>'Strategy Allocation Old'!D31</f>
        <v>6</v>
      </c>
      <c r="G40" s="79">
        <f>'Strategy Allocation Old'!F31</f>
        <v>124425000</v>
      </c>
      <c r="H40" s="221">
        <v>0.1</v>
      </c>
      <c r="I40" s="199">
        <f t="shared" si="1"/>
        <v>12442500</v>
      </c>
      <c r="J40" s="199" t="s">
        <v>419</v>
      </c>
      <c r="K40" s="221">
        <v>0.3</v>
      </c>
      <c r="L40" s="199">
        <f t="shared" si="2"/>
        <v>3732750</v>
      </c>
    </row>
    <row r="41" spans="2:12" x14ac:dyDescent="0.25">
      <c r="B41">
        <f t="shared" si="3"/>
        <v>36</v>
      </c>
      <c r="C41" t="s">
        <v>412</v>
      </c>
      <c r="D41" t="str">
        <f>'Strategy Allocation Old'!B32&amp;" "&amp;'Strategy Allocation Old'!C32</f>
        <v>Aurus Alpha QAW Futures</v>
      </c>
      <c r="E41" s="79">
        <f>'Strategy Allocation Old'!E32</f>
        <v>149656650</v>
      </c>
      <c r="F41" s="219">
        <f>'Strategy Allocation Old'!D32</f>
        <v>1.17</v>
      </c>
      <c r="G41" s="79">
        <f>'Strategy Allocation Old'!F32</f>
        <v>175098280.5</v>
      </c>
      <c r="H41" s="221">
        <v>0.1</v>
      </c>
      <c r="I41" s="199">
        <f t="shared" si="1"/>
        <v>17509828.050000001</v>
      </c>
      <c r="J41" s="199" t="s">
        <v>419</v>
      </c>
      <c r="K41" s="221">
        <v>0.3</v>
      </c>
      <c r="L41" s="199">
        <f t="shared" si="2"/>
        <v>5252948.415</v>
      </c>
    </row>
    <row r="42" spans="2:12" x14ac:dyDescent="0.25">
      <c r="B42">
        <f t="shared" si="3"/>
        <v>37</v>
      </c>
      <c r="C42" t="s">
        <v>412</v>
      </c>
      <c r="D42" t="str">
        <f>'Strategy Allocation Old'!B33&amp;" "&amp;'Strategy Allocation Old'!C33</f>
        <v>Aurus Alpha Gold Futures</v>
      </c>
      <c r="E42" s="79">
        <f>'Strategy Allocation Old'!E33</f>
        <v>99771100</v>
      </c>
      <c r="F42" s="219">
        <f>'Strategy Allocation Old'!D33</f>
        <v>1.17</v>
      </c>
      <c r="G42" s="79">
        <f>'Strategy Allocation Old'!F33</f>
        <v>116732187</v>
      </c>
      <c r="H42" s="221">
        <v>0.1</v>
      </c>
      <c r="I42" s="199">
        <f t="shared" si="1"/>
        <v>11673218.700000001</v>
      </c>
      <c r="J42" s="199" t="s">
        <v>419</v>
      </c>
      <c r="K42" s="221">
        <v>0.3</v>
      </c>
      <c r="L42" s="199">
        <f t="shared" si="2"/>
        <v>3501965.6100000003</v>
      </c>
    </row>
    <row r="43" spans="2:12" x14ac:dyDescent="0.25">
      <c r="B43">
        <f t="shared" si="3"/>
        <v>38</v>
      </c>
      <c r="C43" t="s">
        <v>412</v>
      </c>
      <c r="D43" t="str">
        <f>'Strategy Allocation Old'!B34&amp;" "&amp;'Strategy Allocation Old'!C34</f>
        <v>Marwadi Put Protection</v>
      </c>
      <c r="E43" s="79">
        <f>'Strategy Allocation Old'!E34</f>
        <v>129232400</v>
      </c>
      <c r="F43" s="219">
        <f>'Strategy Allocation Old'!D34</f>
        <v>1</v>
      </c>
      <c r="G43" s="79">
        <f>'Strategy Allocation Old'!F34</f>
        <v>129232400</v>
      </c>
      <c r="H43" s="221">
        <v>0.1</v>
      </c>
      <c r="I43" s="199">
        <f t="shared" si="1"/>
        <v>12923240</v>
      </c>
      <c r="J43" s="199" t="s">
        <v>419</v>
      </c>
      <c r="K43" s="221">
        <v>0.3</v>
      </c>
      <c r="L43" s="199">
        <f t="shared" si="2"/>
        <v>3876972</v>
      </c>
    </row>
    <row r="44" spans="2:12" x14ac:dyDescent="0.25">
      <c r="B44">
        <f t="shared" si="3"/>
        <v>39</v>
      </c>
      <c r="C44" t="s">
        <v>412</v>
      </c>
      <c r="D44" t="str">
        <f>'Strategy Allocation Old'!B35&amp;" "&amp;'Strategy Allocation Old'!C35</f>
        <v>Marwadi FPI Put Protection</v>
      </c>
      <c r="E44" s="79">
        <f>'Strategy Allocation Old'!E35</f>
        <v>53676000</v>
      </c>
      <c r="F44" s="219">
        <f>'Strategy Allocation Old'!D35</f>
        <v>1</v>
      </c>
      <c r="G44" s="79">
        <f>'Strategy Allocation Old'!F35</f>
        <v>53676000</v>
      </c>
      <c r="H44" s="221">
        <v>0.1</v>
      </c>
      <c r="I44" s="199">
        <f t="shared" si="1"/>
        <v>5367600</v>
      </c>
      <c r="J44" s="199" t="s">
        <v>419</v>
      </c>
      <c r="K44" s="221">
        <v>0.3</v>
      </c>
      <c r="L44" s="199">
        <f t="shared" si="2"/>
        <v>1610280</v>
      </c>
    </row>
    <row r="45" spans="2:12" x14ac:dyDescent="0.25">
      <c r="B45">
        <f t="shared" si="3"/>
        <v>40</v>
      </c>
      <c r="C45" t="s">
        <v>412</v>
      </c>
      <c r="D45" t="str">
        <f>'Strategy Allocation Old'!B36&amp;" "&amp;'Strategy Allocation Old'!C36</f>
        <v>Affluence Prop Put Protection</v>
      </c>
      <c r="E45" s="79">
        <f>'Strategy Allocation Old'!E36</f>
        <v>18824400</v>
      </c>
      <c r="F45" s="219">
        <f>'Strategy Allocation Old'!D36</f>
        <v>1</v>
      </c>
      <c r="G45" s="79">
        <f>'Strategy Allocation Old'!F36</f>
        <v>18824400</v>
      </c>
      <c r="H45" s="221">
        <v>0.1</v>
      </c>
      <c r="I45" s="199">
        <f t="shared" si="1"/>
        <v>1882440</v>
      </c>
      <c r="J45" s="199" t="s">
        <v>419</v>
      </c>
      <c r="K45" s="221">
        <v>0.3</v>
      </c>
      <c r="L45" s="199">
        <f t="shared" si="2"/>
        <v>564732</v>
      </c>
    </row>
    <row r="46" spans="2:12" x14ac:dyDescent="0.25">
      <c r="B46">
        <f t="shared" si="3"/>
        <v>41</v>
      </c>
      <c r="C46" t="s">
        <v>412</v>
      </c>
      <c r="D46" t="str">
        <f>'Strategy Allocation Old'!B37&amp;" "&amp;'Strategy Allocation Old'!C37</f>
        <v>SRE Put Protection</v>
      </c>
      <c r="E46" s="79">
        <f>'Strategy Allocation Old'!E37</f>
        <v>70092000</v>
      </c>
      <c r="F46" s="219">
        <f>'Strategy Allocation Old'!D37</f>
        <v>1</v>
      </c>
      <c r="G46" s="79">
        <f>'Strategy Allocation Old'!F37</f>
        <v>70092000</v>
      </c>
      <c r="H46" s="221">
        <v>0.1</v>
      </c>
      <c r="I46" s="199">
        <f t="shared" si="1"/>
        <v>7009200</v>
      </c>
      <c r="J46" s="199" t="s">
        <v>419</v>
      </c>
      <c r="K46" s="221">
        <v>0.3</v>
      </c>
      <c r="L46" s="199">
        <f t="shared" si="2"/>
        <v>2102760</v>
      </c>
    </row>
    <row r="47" spans="2:12" x14ac:dyDescent="0.25">
      <c r="B47">
        <f t="shared" si="3"/>
        <v>42</v>
      </c>
      <c r="C47" t="s">
        <v>412</v>
      </c>
      <c r="D47" t="str">
        <f>'Strategy Allocation Old'!B38&amp;" "&amp;'Strategy Allocation Old'!C38</f>
        <v>Marwadi Stock Futures</v>
      </c>
      <c r="E47" s="79">
        <f>'Strategy Allocation Old'!E38</f>
        <v>38310000</v>
      </c>
      <c r="F47" s="219">
        <f>'Strategy Allocation Old'!D38</f>
        <v>1</v>
      </c>
      <c r="G47" s="79">
        <f>'Strategy Allocation Old'!F38</f>
        <v>38310000</v>
      </c>
      <c r="H47" s="221">
        <v>0.1</v>
      </c>
      <c r="I47" s="199">
        <f t="shared" si="1"/>
        <v>3831000</v>
      </c>
      <c r="J47" s="199" t="s">
        <v>419</v>
      </c>
      <c r="K47" s="221">
        <v>0.3</v>
      </c>
      <c r="L47" s="199">
        <f t="shared" si="2"/>
        <v>1149300</v>
      </c>
    </row>
    <row r="48" spans="2:12" x14ac:dyDescent="0.25">
      <c r="B48">
        <f t="shared" si="3"/>
        <v>43</v>
      </c>
      <c r="C48" t="s">
        <v>412</v>
      </c>
      <c r="D48" t="str">
        <f>'Strategy Allocation Old'!B39&amp;" "&amp;'Strategy Allocation Old'!C39</f>
        <v>Affluence Prop Stock Futures</v>
      </c>
      <c r="E48" s="79">
        <f>'Strategy Allocation Old'!E39</f>
        <v>3150000</v>
      </c>
      <c r="F48" s="219">
        <f>'Strategy Allocation Old'!D39</f>
        <v>1</v>
      </c>
      <c r="G48" s="79">
        <f>'Strategy Allocation Old'!F39</f>
        <v>3150000</v>
      </c>
      <c r="H48" s="221">
        <v>0.1</v>
      </c>
      <c r="I48" s="199">
        <f t="shared" si="1"/>
        <v>315000</v>
      </c>
      <c r="J48" s="199" t="s">
        <v>419</v>
      </c>
      <c r="K48" s="221">
        <v>0.3</v>
      </c>
      <c r="L48" s="199">
        <f t="shared" si="2"/>
        <v>94500</v>
      </c>
    </row>
    <row r="49" spans="2:12" x14ac:dyDescent="0.25">
      <c r="B49">
        <f t="shared" si="3"/>
        <v>44</v>
      </c>
      <c r="C49" t="s">
        <v>412</v>
      </c>
      <c r="D49" t="str">
        <f>'Strategy Allocation Old'!B40&amp;" "&amp;'Strategy Allocation Old'!C40</f>
        <v>Mishayan Zerodha Client Account Gold PRCS</v>
      </c>
      <c r="E49" s="79">
        <f>'Strategy Allocation Old'!E40</f>
        <v>0</v>
      </c>
      <c r="F49" s="219">
        <f>'Strategy Allocation Old'!D40</f>
        <v>1</v>
      </c>
      <c r="G49" s="79">
        <f>'Strategy Allocation Old'!F40</f>
        <v>0</v>
      </c>
      <c r="H49" s="221">
        <v>0.1</v>
      </c>
      <c r="I49" s="199">
        <f t="shared" si="1"/>
        <v>0</v>
      </c>
      <c r="J49" s="199" t="s">
        <v>419</v>
      </c>
      <c r="K49" s="221">
        <v>0.3</v>
      </c>
      <c r="L49" s="199">
        <f t="shared" si="2"/>
        <v>0</v>
      </c>
    </row>
    <row r="50" spans="2:12" x14ac:dyDescent="0.25">
      <c r="B50">
        <f t="shared" si="3"/>
        <v>45</v>
      </c>
      <c r="C50" t="s">
        <v>412</v>
      </c>
      <c r="D50" t="str">
        <f>'Strategy Allocation Old'!B41&amp;" "&amp;'Strategy Allocation Old'!C41</f>
        <v>Aurus Alpha Gold PRCS</v>
      </c>
      <c r="E50" s="79">
        <f>'Strategy Allocation Old'!E41</f>
        <v>0</v>
      </c>
      <c r="F50" s="219">
        <f>'Strategy Allocation Old'!D41</f>
        <v>1</v>
      </c>
      <c r="G50" s="79">
        <f>'Strategy Allocation Old'!F41</f>
        <v>0</v>
      </c>
      <c r="H50" s="221">
        <v>0.1</v>
      </c>
      <c r="I50" s="199">
        <f t="shared" si="1"/>
        <v>0</v>
      </c>
      <c r="J50" s="199" t="s">
        <v>419</v>
      </c>
      <c r="K50" s="221">
        <v>0.3</v>
      </c>
      <c r="L50" s="199">
        <f t="shared" si="2"/>
        <v>0</v>
      </c>
    </row>
    <row r="51" spans="2:12" x14ac:dyDescent="0.25">
      <c r="B51">
        <f t="shared" si="3"/>
        <v>46</v>
      </c>
      <c r="C51" t="s">
        <v>412</v>
      </c>
      <c r="D51" t="str">
        <f>'Strategy Allocation Old'!B42&amp;" "&amp;'Strategy Allocation Old'!C42</f>
        <v>Marwadi Gold PRCS</v>
      </c>
      <c r="E51" s="79">
        <f>'Strategy Allocation Old'!E42</f>
        <v>0</v>
      </c>
      <c r="F51" s="219">
        <f>'Strategy Allocation Old'!D42</f>
        <v>1</v>
      </c>
      <c r="G51" s="79">
        <f>'Strategy Allocation Old'!F42</f>
        <v>0</v>
      </c>
      <c r="H51" s="221">
        <v>0.1</v>
      </c>
      <c r="I51" s="199">
        <f t="shared" si="1"/>
        <v>0</v>
      </c>
      <c r="J51" s="199" t="s">
        <v>419</v>
      </c>
      <c r="K51" s="221">
        <v>0.3</v>
      </c>
      <c r="L51" s="199">
        <f t="shared" si="2"/>
        <v>0</v>
      </c>
    </row>
    <row r="52" spans="2:12" x14ac:dyDescent="0.25">
      <c r="B52">
        <f t="shared" si="3"/>
        <v>47</v>
      </c>
      <c r="C52" t="s">
        <v>412</v>
      </c>
      <c r="D52" t="str">
        <f>'Strategy Allocation Old'!B43&amp;" "&amp;'Strategy Allocation Old'!C43</f>
        <v>Aurus Alpha Put Protection</v>
      </c>
      <c r="E52" s="79">
        <f>'Strategy Allocation Old'!E43</f>
        <v>149656650</v>
      </c>
      <c r="F52" s="219">
        <f>'Strategy Allocation Old'!D43</f>
        <v>1</v>
      </c>
      <c r="G52" s="79">
        <f>'Strategy Allocation Old'!F43</f>
        <v>149656650</v>
      </c>
      <c r="H52" s="221">
        <v>0.1</v>
      </c>
      <c r="I52" s="199">
        <f t="shared" si="1"/>
        <v>14965665</v>
      </c>
      <c r="J52" s="199" t="s">
        <v>419</v>
      </c>
      <c r="K52" s="221">
        <v>0.3</v>
      </c>
      <c r="L52" s="199">
        <f t="shared" si="2"/>
        <v>4489699.5</v>
      </c>
    </row>
    <row r="53" spans="2:12" x14ac:dyDescent="0.25">
      <c r="B53">
        <f t="shared" si="3"/>
        <v>48</v>
      </c>
      <c r="C53" t="s">
        <v>412</v>
      </c>
      <c r="D53" t="str">
        <f>'Strategy Allocation Old'!B44&amp;" "&amp;'Strategy Allocation Old'!C44</f>
        <v>Marwadi FPI Gold Futures</v>
      </c>
      <c r="E53" s="79">
        <f>'Strategy Allocation Old'!E44</f>
        <v>37296000</v>
      </c>
      <c r="F53" s="219">
        <f>'Strategy Allocation Old'!D44</f>
        <v>1</v>
      </c>
      <c r="G53" s="79">
        <f>'Strategy Allocation Old'!F44</f>
        <v>37296000</v>
      </c>
      <c r="H53" s="221">
        <v>0.1</v>
      </c>
      <c r="I53" s="199">
        <f t="shared" si="1"/>
        <v>3729600</v>
      </c>
      <c r="J53" s="199" t="s">
        <v>419</v>
      </c>
      <c r="K53" s="221">
        <v>0.3</v>
      </c>
      <c r="L53" s="199">
        <f t="shared" si="2"/>
        <v>1118880</v>
      </c>
    </row>
    <row r="54" spans="2:12" x14ac:dyDescent="0.25">
      <c r="B54">
        <f t="shared" si="3"/>
        <v>49</v>
      </c>
      <c r="C54" t="s">
        <v>412</v>
      </c>
      <c r="D54" t="str">
        <f>'Strategy Allocation Old'!B45&amp;" "&amp;'Strategy Allocation Old'!C45</f>
        <v xml:space="preserve"> </v>
      </c>
      <c r="E54" s="79">
        <f>'Strategy Allocation Old'!E45</f>
        <v>0</v>
      </c>
      <c r="F54" s="219">
        <f>'Strategy Allocation Old'!D45</f>
        <v>0</v>
      </c>
      <c r="G54" s="79">
        <f>'Strategy Allocation Old'!F45</f>
        <v>0</v>
      </c>
      <c r="H54" s="221">
        <v>0.1</v>
      </c>
      <c r="I54" s="199">
        <f t="shared" si="1"/>
        <v>0</v>
      </c>
      <c r="J54" s="199" t="s">
        <v>419</v>
      </c>
      <c r="K54" s="221">
        <v>0.3</v>
      </c>
      <c r="L54" s="199">
        <f t="shared" si="2"/>
        <v>0</v>
      </c>
    </row>
    <row r="55" spans="2:12" x14ac:dyDescent="0.25">
      <c r="B55">
        <f t="shared" si="3"/>
        <v>50</v>
      </c>
      <c r="C55" t="s">
        <v>412</v>
      </c>
      <c r="D55" t="str">
        <f>'Strategy Allocation Old'!B46&amp;" "&amp;'Strategy Allocation Old'!C46</f>
        <v xml:space="preserve"> </v>
      </c>
      <c r="E55" s="79">
        <f>'Strategy Allocation Old'!E46</f>
        <v>0</v>
      </c>
      <c r="F55" s="219">
        <f>'Strategy Allocation Old'!D46</f>
        <v>0</v>
      </c>
      <c r="G55" s="79">
        <f>'Strategy Allocation Old'!F46</f>
        <v>0</v>
      </c>
      <c r="H55" s="221">
        <v>0.1</v>
      </c>
      <c r="I55" s="199">
        <f t="shared" si="1"/>
        <v>0</v>
      </c>
      <c r="J55" s="199" t="s">
        <v>419</v>
      </c>
      <c r="K55" s="221">
        <v>0.3</v>
      </c>
      <c r="L55" s="199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Ideas</vt:lpstr>
      <vt:lpstr>Balance Sheet RN</vt:lpstr>
      <vt:lpstr>Balance Sheet MCL</vt:lpstr>
      <vt:lpstr>Pivot</vt:lpstr>
      <vt:lpstr>Mastersheet</vt:lpstr>
      <vt:lpstr>Capital Account</vt:lpstr>
      <vt:lpstr>Holdings Summary</vt:lpstr>
      <vt:lpstr>Networth Inputs</vt:lpstr>
      <vt:lpstr>Cash and Margin</vt:lpstr>
      <vt:lpstr>Strategy Allocation</vt:lpstr>
      <vt:lpstr>Equity Holdings</vt:lpstr>
      <vt:lpstr>Mutual Funds</vt:lpstr>
      <vt:lpstr>Mishayan STCG</vt:lpstr>
      <vt:lpstr>Fund Returns</vt:lpstr>
      <vt:lpstr>Fund Arrangement</vt:lpstr>
      <vt:lpstr>Strategy Allocation Old</vt:lpstr>
      <vt:lpstr>Networth Inputs - old</vt:lpstr>
      <vt:lpstr>Cash and Margin - old</vt:lpstr>
      <vt:lpstr>Returns and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Purnanand Kulkarni</cp:lastModifiedBy>
  <dcterms:created xsi:type="dcterms:W3CDTF">2025-07-24T05:48:47Z</dcterms:created>
  <dcterms:modified xsi:type="dcterms:W3CDTF">2026-06-24T06:08:16Z</dcterms:modified>
</cp:coreProperties>
</file>